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903009f6ac41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전체내역" sheetId="1" r:id="Rb35c945e172e48e2"/>
    <x:sheet xmlns:r="http://schemas.openxmlformats.org/officeDocument/2006/relationships" name="연도별합계" sheetId="2" r:id="R2d9686e70bfe4d14"/>
    <x:sheet xmlns:r="http://schemas.openxmlformats.org/officeDocument/2006/relationships" name="별도현금정산" sheetId="3" r:id="Rd132dcab677b485e"/>
    <x:sheet xmlns:r="http://schemas.openxmlformats.org/officeDocument/2006/relationships" name="2022년" sheetId="4" r:id="Rc69e7f4383824185"/>
    <x:sheet xmlns:r="http://schemas.openxmlformats.org/officeDocument/2006/relationships" name="2023년" sheetId="5" r:id="R056601cd88c84b80"/>
    <x:sheet xmlns:r="http://schemas.openxmlformats.org/officeDocument/2006/relationships" name="2024년" sheetId="6" r:id="R32334536d15a425e"/>
    <x:sheet xmlns:r="http://schemas.openxmlformats.org/officeDocument/2006/relationships" name="2025년" sheetId="7" r:id="R6384c1d0b01043cb"/>
    <x:sheet xmlns:r="http://schemas.openxmlformats.org/officeDocument/2006/relationships" name="2026년" sheetId="8" r:id="R5f899406f78a4c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&quot;원&quot;"/>
    <x:numFmt numFmtId="202" formatCode="0&quot;건&quot;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FEF3C7"/>
      </x:patternFill>
    </x:fill>
  </x:fills>
  <x:borders count="20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bottom/>
    </x:border>
    <x:border>
      <x:bottom/>
    </x:border>
  </x:borders>
  <x:cellStyleXfs count="1">
    <x:xf numFmtId="0" fontId="0" fillId="0" borderId="0"/>
  </x:cellStyleXfs>
  <x:cellXfs count="8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2" borderId="10" xfId="0" applyNumberFormat="1" applyFont="1" applyFill="1" applyBorder="1" applyAlignment="1">
      <x:alignment horizontal="center" vertical="center"/>
    </x:xf>
    <x:xf numFmtId="0" fontId="1" fillId="2" borderId="11" xfId="0" applyNumberFormat="1" applyFont="1" applyFill="1" applyBorder="1" applyAlignment="1">
      <x:alignment horizontal="center" vertical="center"/>
    </x:xf>
    <x:xf numFmtId="0" fontId="1" fillId="2" borderId="12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200" fontId="0" fillId="0" borderId="5" xfId="0" applyNumberFormat="1" applyFont="1" applyFill="1" applyBorder="1"/>
    <x:xf numFmtId="200" fontId="0" fillId="0" borderId="7" xfId="0" applyNumberFormat="1" applyFont="1" applyFill="1" applyBorder="1"/>
    <x:xf numFmtId="200" fontId="0" fillId="0" borderId="13" xfId="0" applyNumberFormat="1" applyFont="1" applyFill="1" applyBorder="1"/>
    <x:xf numFmtId="200" fontId="0" fillId="0" borderId="15" xfId="0" applyNumberFormat="1" applyFont="1" applyFill="1" applyBorder="1"/>
    <x:xf numFmtId="201" fontId="0" fillId="0" borderId="0" xfId="0" applyNumberFormat="1" applyFont="1" applyFill="1" applyBorder="1"/>
    <x:xf numFmtId="201" fontId="0" fillId="0" borderId="8" xfId="0" applyNumberFormat="1" applyFont="1" applyFill="1" applyBorder="1"/>
    <x:xf numFmtId="201" fontId="0" fillId="0" borderId="1" xfId="0" applyNumberFormat="1" applyFont="1" applyFill="1" applyBorder="1"/>
    <x:xf numFmtId="201" fontId="0" fillId="0" borderId="16" xfId="0" applyNumberFormat="1" applyFont="1" applyFill="1" applyBorder="1"/>
    <x:xf numFmtId="0" fontId="0" fillId="3" borderId="0" xfId="0" applyNumberFormat="1" applyFont="1" applyFill="1" applyBorder="1"/>
    <x:xf numFmtId="201" fontId="0" fillId="3" borderId="0" xfId="0" applyNumberFormat="1" applyFont="1" applyFill="1" applyBorder="1"/>
    <x:xf numFmtId="0" fontId="2" fillId="3" borderId="0" xfId="0" applyNumberFormat="1" applyFont="1" applyFill="1" applyBorder="1"/>
    <x:xf numFmtId="201" fontId="2" fillId="3" borderId="0" xfId="0" applyNumberFormat="1" applyFont="1" applyFill="1" applyBorder="1"/>
    <x:xf numFmtId="0" fontId="2" fillId="3" borderId="18" xfId="0" applyNumberFormat="1" applyFont="1" applyFill="1" applyBorder="1"/>
    <x:xf numFmtId="201" fontId="2" fillId="3" borderId="18" xfId="0" applyNumberFormat="1" applyFont="1" applyFill="1" applyBorder="1"/>
    <x:xf numFmtId="0" fontId="0" fillId="3" borderId="1" xfId="0" applyNumberFormat="1" applyFont="1" applyFill="1" applyBorder="1"/>
    <x:xf numFmtId="201" fontId="0" fillId="3" borderId="1" xfId="0" applyNumberFormat="1" applyFont="1" applyFill="1" applyBorder="1"/>
    <x:xf numFmtId="0" fontId="2" fillId="3" borderId="1" xfId="0" applyNumberFormat="1" applyFont="1" applyFill="1" applyBorder="1"/>
    <x:xf numFmtId="201" fontId="2" fillId="3" borderId="1" xfId="0" applyNumberFormat="1" applyFont="1" applyFill="1" applyBorder="1"/>
    <x:xf numFmtId="0" fontId="2" fillId="3" borderId="19" xfId="0" applyNumberFormat="1" applyFont="1" applyFill="1" applyBorder="1"/>
    <x:xf numFmtId="201" fontId="2" fillId="3" borderId="19" xfId="0" applyNumberFormat="1" applyFont="1" applyFill="1" applyBorder="1"/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20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20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2" fillId="3" borderId="18" xfId="0" applyNumberFormat="1" applyFont="1" applyFill="1" applyBorder="1" applyAlignment="1">
      <x:alignment wrapText="1"/>
    </x:xf>
    <x:xf numFmtId="201" fontId="2" fillId="3" borderId="18" xfId="0" applyNumberFormat="1" applyFont="1" applyFill="1" applyBorder="1" applyAlignment="1">
      <x:alignment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200" fontId="0" fillId="0" borderId="1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20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1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2" fillId="3" borderId="19" xfId="0" applyNumberFormat="1" applyFont="1" applyFill="1" applyBorder="1" applyAlignment="1">
      <x:alignment wrapText="1"/>
    </x:xf>
    <x:xf numFmtId="201" fontId="2" fillId="3" borderId="19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0" fillId="3" borderId="0" xfId="0" applyNumberFormat="1" applyFont="1" applyFill="1" applyBorder="1"/>
    <x:xf numFmtId="202" fontId="2" fillId="3" borderId="0" xfId="0" applyNumberFormat="1" applyFont="1" applyFill="1" applyBorder="1"/>
    <x:xf numFmtId="202" fontId="0" fillId="3" borderId="1" xfId="0" applyNumberFormat="1" applyFont="1" applyFill="1" applyBorder="1"/>
    <x:xf numFmtId="202" fontId="2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201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201" fontId="2" fillId="3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ill>
        <x:patternFill patternType="solid">
          <x:bgColor rgb="FFFDE68A"/>
        </x:patternFill>
      </x:fill>
    </x:dxf>
    <x:dxf>
      <x:fill>
        <x:patternFill patternType="solid">
          <x:bgColor rgb="FFFECACA"/>
        </x:patternFill>
      </x:fill>
    </x:dxf>
    <x:dxf>
      <x:font>
        <x:b/>
        <x:color rgb="FFB91C1C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4d213c964f4585" /><Relationship Type="http://schemas.openxmlformats.org/officeDocument/2006/relationships/theme" Target="/xl/theme/theme1.xml" Id="Re472f4234b5b470a" /><Relationship Type="http://schemas.openxmlformats.org/officeDocument/2006/relationships/sharedStrings" Target="/xl/sharedStrings.xml" Id="R435698a5d3de4608" /><Relationship Type="http://schemas.openxmlformats.org/officeDocument/2006/relationships/worksheet" Target="/xl/worksheets/sheet1.xml" Id="Rb35c945e172e48e2" /><Relationship Type="http://schemas.openxmlformats.org/officeDocument/2006/relationships/worksheet" Target="/xl/worksheets/sheet2.xml" Id="R2d9686e70bfe4d14" /><Relationship Type="http://schemas.openxmlformats.org/officeDocument/2006/relationships/worksheet" Target="/xl/worksheets/sheet3.xml" Id="Rd132dcab677b485e" /><Relationship Type="http://schemas.openxmlformats.org/officeDocument/2006/relationships/worksheet" Target="/xl/worksheets/sheet4.xml" Id="Rc69e7f4383824185" /><Relationship Type="http://schemas.openxmlformats.org/officeDocument/2006/relationships/worksheet" Target="/xl/worksheets/sheet5.xml" Id="R056601cd88c84b80" /><Relationship Type="http://schemas.openxmlformats.org/officeDocument/2006/relationships/worksheet" Target="/xl/worksheets/sheet6.xml" Id="R32334536d15a425e" /><Relationship Type="http://schemas.openxmlformats.org/officeDocument/2006/relationships/worksheet" Target="/xl/worksheets/sheet7.xml" Id="R6384c1d0b01043cb" /><Relationship Type="http://schemas.openxmlformats.org/officeDocument/2006/relationships/worksheet" Target="/xl/worksheets/sheet8.xml" Id="R5f899406f78a4c56" /></Relationships>
</file>

<file path=xl/tables/table1.xml><?xml version="1.0" encoding="utf-8"?>
<x:table xmlns:x="http://schemas.openxmlformats.org/spreadsheetml/2006/main" id="1" name="SecretLedgerTable" displayName="SecretLedgerTable" ref="A1:J50" headerRowCount="1">
  <x:tableColumns count="10">
    <x:tableColumn id="1" name="날짜"/>
    <x:tableColumn id="2" name="연도"/>
    <x:tableColumn id="3" name="항목"/>
    <x:tableColumn id="4" name="장부상 처리"/>
    <x:tableColumn id="5" name="실제 처리"/>
    <x:tableColumn id="6" name="장부상 금액"/>
    <x:tableColumn id="7" name="실제 금액"/>
    <x:tableColumn id="8" name="차액"/>
    <x:tableColumn id="9" name="처리자"/>
    <x:tableColumn id="10" name="비고"/>
  </x:tableColumns>
  <x:tableStyleInfo name="TableStyleMedium2" showRowStripes="1"/>
</x:table>
</file>

<file path=xl/tables/table2.xml><?xml version="1.0" encoding="utf-8"?>
<x:table xmlns:x="http://schemas.openxmlformats.org/spreadsheetml/2006/main" id="2" name="YearSummaryTable" displayName="YearSummaryTable" ref="A1:E7" headerRowCount="1">
  <x:tableColumns count="5">
    <x:tableColumn id="1" name="연도"/>
    <x:tableColumn id="2" name="장부상 금액 합계"/>
    <x:tableColumn id="3" name="실제 금액 합계"/>
    <x:tableColumn id="4" name="차액 합계"/>
    <x:tableColumn id="5" name="건수"/>
  </x:tableColumns>
  <x:tableStyleInfo name="TableStyleMedium2" showRowStripes="1"/>
</x:table>
</file>

<file path=xl/tables/table3.xml><?xml version="1.0" encoding="utf-8"?>
<x:table xmlns:x="http://schemas.openxmlformats.org/spreadsheetml/2006/main" id="3" name="CashSettlementTable" displayName="CashSettlementTable" ref="A1:F11" headerRowCount="1">
  <x:tableColumns count="6">
    <x:tableColumn id="1" name="날짜"/>
    <x:tableColumn id="2" name="연도"/>
    <x:tableColumn id="3" name="항목"/>
    <x:tableColumn id="4" name="금액"/>
    <x:tableColumn id="5" name="수령자"/>
    <x:tableColumn id="6" name="비고"/>
  </x:tableColumns>
  <x:tableStyleInfo name="TableStyleMedium2" showRowStripes="1"/>
</x:table>
</file>

<file path=xl/tables/table4.xml><?xml version="1.0" encoding="utf-8"?>
<x:table xmlns:x="http://schemas.openxmlformats.org/spreadsheetml/2006/main" id="4" name="Ledger2022Table" displayName="Ledger2022Table" ref="A1:I9" headerRowCount="1">
  <x:tableColumns count="9">
    <x:tableColumn id="1" name="날짜"/>
    <x:tableColumn id="2" name="항목"/>
    <x:tableColumn id="3" name="장부상 처리"/>
    <x:tableColumn id="4" name="실제 처리"/>
    <x:tableColumn id="5" name="장부상 금액"/>
    <x:tableColumn id="6" name="실제 금액"/>
    <x:tableColumn id="7" name="차액"/>
    <x:tableColumn id="8" name="처리자"/>
    <x:tableColumn id="9" name="비고"/>
  </x:tableColumns>
  <x:tableStyleInfo name="TableStyleMedium2" showRowStripes="1"/>
</x:table>
</file>

<file path=xl/tables/table5.xml><?xml version="1.0" encoding="utf-8"?>
<x:table xmlns:x="http://schemas.openxmlformats.org/spreadsheetml/2006/main" id="5" name="Ledger2023Table" displayName="Ledger2023Table" ref="A1:I10" headerRowCount="1">
  <x:tableColumns count="9">
    <x:tableColumn id="1" name="날짜"/>
    <x:tableColumn id="2" name="항목"/>
    <x:tableColumn id="3" name="장부상 처리"/>
    <x:tableColumn id="4" name="실제 처리"/>
    <x:tableColumn id="5" name="장부상 금액"/>
    <x:tableColumn id="6" name="실제 금액"/>
    <x:tableColumn id="7" name="차액"/>
    <x:tableColumn id="8" name="처리자"/>
    <x:tableColumn id="9" name="비고"/>
  </x:tableColumns>
  <x:tableStyleInfo name="TableStyleMedium2" showRowStripes="1"/>
</x:table>
</file>

<file path=xl/tables/table6.xml><?xml version="1.0" encoding="utf-8"?>
<x:table xmlns:x="http://schemas.openxmlformats.org/spreadsheetml/2006/main" id="6" name="Ledger2024Table" displayName="Ledger2024Table" ref="A1:I11" headerRowCount="1">
  <x:tableColumns count="9">
    <x:tableColumn id="1" name="날짜"/>
    <x:tableColumn id="2" name="항목"/>
    <x:tableColumn id="3" name="장부상 처리"/>
    <x:tableColumn id="4" name="실제 처리"/>
    <x:tableColumn id="5" name="장부상 금액"/>
    <x:tableColumn id="6" name="실제 금액"/>
    <x:tableColumn id="7" name="차액"/>
    <x:tableColumn id="8" name="처리자"/>
    <x:tableColumn id="9" name="비고"/>
  </x:tableColumns>
  <x:tableStyleInfo name="TableStyleMedium2" showRowStripes="1"/>
</x:table>
</file>

<file path=xl/tables/table7.xml><?xml version="1.0" encoding="utf-8"?>
<x:table xmlns:x="http://schemas.openxmlformats.org/spreadsheetml/2006/main" id="7" name="Ledger2025Table" displayName="Ledger2025Table" ref="A1:I13" headerRowCount="1">
  <x:tableColumns count="9">
    <x:tableColumn id="1" name="날짜"/>
    <x:tableColumn id="2" name="항목"/>
    <x:tableColumn id="3" name="장부상 처리"/>
    <x:tableColumn id="4" name="실제 처리"/>
    <x:tableColumn id="5" name="장부상 금액"/>
    <x:tableColumn id="6" name="실제 금액"/>
    <x:tableColumn id="7" name="차액"/>
    <x:tableColumn id="8" name="처리자"/>
    <x:tableColumn id="9" name="비고"/>
  </x:tableColumns>
  <x:tableStyleInfo name="TableStyleMedium2" showRowStripes="1"/>
</x:table>
</file>

<file path=xl/tables/table8.xml><?xml version="1.0" encoding="utf-8"?>
<x:table xmlns:x="http://schemas.openxmlformats.org/spreadsheetml/2006/main" id="8" name="Ledger2026Table" displayName="Ledger2026Table" ref="A1:I11" headerRowCount="1">
  <x:tableColumns count="9">
    <x:tableColumn id="1" name="날짜"/>
    <x:tableColumn id="2" name="항목"/>
    <x:tableColumn id="3" name="장부상 처리"/>
    <x:tableColumn id="4" name="실제 처리"/>
    <x:tableColumn id="5" name="장부상 금액"/>
    <x:tableColumn id="6" name="실제 금액"/>
    <x:tableColumn id="7" name="차액"/>
    <x:tableColumn id="8" name="처리자"/>
    <x:tableColumn id="9" name="비고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cf1db22845d44b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99fa9b39f29440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10ecc5e22e5439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3cff8ba3e98440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d83eca85bc74c7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268c982ba71494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2ad20f983493460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8371baa6fa4c4164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18" hidden="0" customWidth="1"/>
    <x:col min="4" max="4" width="20" hidden="0" customWidth="1"/>
    <x:col min="5" max="5" width="20" hidden="0" customWidth="1"/>
    <x:col min="6" max="6" width="14" hidden="0" customWidth="1"/>
    <x:col min="7" max="7" width="14" hidden="0" customWidth="1"/>
    <x:col min="8" max="8" width="14" hidden="0" customWidth="1"/>
    <x:col min="9" max="9" width="10" hidden="0" customWidth="1"/>
    <x:col min="10" max="10" width="24" hidden="0" customWidth="1"/>
  </x:cols>
  <x:sheetData>
    <x:row r="1">
      <x:c r="A1" s="47" t="str">
        <x:v>날짜</x:v>
      </x:c>
      <x:c r="B1" s="48" t="str">
        <x:v>연도</x:v>
      </x:c>
      <x:c r="C1" s="48" t="str">
        <x:v>항목</x:v>
      </x:c>
      <x:c r="D1" s="48" t="str">
        <x:v>장부상 처리</x:v>
      </x:c>
      <x:c r="E1" s="48" t="str">
        <x:v>실제 처리</x:v>
      </x:c>
      <x:c r="F1" s="48" t="str">
        <x:v>장부상 금액</x:v>
      </x:c>
      <x:c r="G1" s="48" t="str">
        <x:v>실제 금액</x:v>
      </x:c>
      <x:c r="H1" s="48" t="str">
        <x:v>차액</x:v>
      </x:c>
      <x:c r="I1" s="48" t="str">
        <x:v>처리자</x:v>
      </x:c>
      <x:c r="J1" s="49" t="str">
        <x:v>비고</x:v>
      </x:c>
    </x:row>
    <x:row r="2">
      <x:c r="A2" s="50" t="n">
        <x:v>44606</x:v>
      </x:c>
      <x:c r="B2" s="51" t="str">
        <x:v>2022년</x:v>
      </x:c>
      <x:c r="C2" s="51" t="str">
        <x:v>H빔 잔여분</x:v>
      </x:c>
      <x:c r="D2" s="51" t="str">
        <x:v>폐기 처리</x:v>
      </x:c>
      <x:c r="E2" s="51" t="str">
        <x:v>외부 반출</x:v>
      </x:c>
      <x:c r="F2" s="52" t="n">
        <x:v>6800000</x:v>
      </x:c>
      <x:c r="G2" s="52" t="n">
        <x:v>2400000</x:v>
      </x:c>
      <x:c r="H2" s="52" t="n">
        <x:f>F2-G2</x:f>
        <x:v>4400000</x:v>
      </x:c>
      <x:c r="I2" s="51" t="str">
        <x:v>박</x:v>
      </x:c>
      <x:c r="J2" s="53" t="str">
        <x:v>H운송 야간 출고</x:v>
      </x:c>
    </x:row>
    <x:row r="3">
      <x:c r="A3" s="50" t="n">
        <x:v>44623</x:v>
      </x:c>
      <x:c r="B3" s="51" t="str">
        <x:v>2022년</x:v>
      </x:c>
      <x:c r="C3" s="51" t="str">
        <x:v>창고 보수비</x:v>
      </x:c>
      <x:c r="D3" s="51" t="str">
        <x:v>바닥 균열 보수</x:v>
      </x:c>
      <x:c r="E3" s="51" t="str">
        <x:v>작업 없음</x:v>
      </x:c>
      <x:c r="F3" s="52" t="n">
        <x:v>3200000</x:v>
      </x:c>
      <x:c r="G3" s="52" t="n">
        <x:v>0</x:v>
      </x:c>
      <x:c r="H3" s="52" t="n">
        <x:f>F3-G3</x:f>
        <x:v>3200000</x:v>
      </x:c>
      <x:c r="I3" s="51" t="str">
        <x:v>박</x:v>
      </x:c>
      <x:c r="J3" s="53" t="str">
        <x:v>K건설 세금계산서</x:v>
      </x:c>
    </x:row>
    <x:row r="4">
      <x:c r="A4" s="50" t="n">
        <x:v>44670</x:v>
      </x:c>
      <x:c r="B4" s="51" t="str">
        <x:v>2022년</x:v>
      </x:c>
      <x:c r="C4" s="51" t="str">
        <x:v>안전난간 자재</x:v>
      </x:c>
      <x:c r="D4" s="51" t="str">
        <x:v>신규 구매</x:v>
      </x:c>
      <x:c r="E4" s="51" t="str">
        <x:v>일부 미입고</x:v>
      </x:c>
      <x:c r="F4" s="52" t="n">
        <x:v>4500000</x:v>
      </x:c>
      <x:c r="G4" s="52" t="n">
        <x:v>2100000</x:v>
      </x:c>
      <x:c r="H4" s="52" t="n">
        <x:f>F4-G4</x:f>
        <x:v>2400000</x:v>
      </x:c>
      <x:c r="I4" s="51" t="str">
        <x:v>박</x:v>
      </x:c>
      <x:c r="J4" s="53" t="str">
        <x:v>수량표 수정 필요</x:v>
      </x:c>
    </x:row>
    <x:row r="5">
      <x:c r="A5" s="50" t="n">
        <x:v>44720</x:v>
      </x:c>
      <x:c r="B5" s="51" t="str">
        <x:v>2022년</x:v>
      </x:c>
      <x:c r="C5" s="51" t="str">
        <x:v>폐기물 처리</x:v>
      </x:c>
      <x:c r="D5" s="51" t="str">
        <x:v>폐기 처리 완료</x:v>
      </x:c>
      <x:c r="E5" s="51" t="str">
        <x:v>수량 과다 등록</x:v>
      </x:c>
      <x:c r="F5" s="52" t="n">
        <x:v>2700000</x:v>
      </x:c>
      <x:c r="G5" s="52" t="n">
        <x:v>900000</x:v>
      </x:c>
      <x:c r="H5" s="52" t="n">
        <x:f>F5-G5</x:f>
        <x:v>1800000</x:v>
      </x:c>
      <x:c r="I5" s="51" t="str">
        <x:v>이</x:v>
      </x:c>
      <x:c r="J5" s="53" t="str">
        <x:v>폐기증명서만 보관</x:v>
      </x:c>
    </x:row>
    <x:row r="6">
      <x:c r="A6" s="50" t="n">
        <x:v>44764</x:v>
      </x:c>
      <x:c r="B6" s="51" t="str">
        <x:v>2022년</x:v>
      </x:c>
      <x:c r="C6" s="51" t="str">
        <x:v>방수재 구매</x:v>
      </x:c>
      <x:c r="D6" s="51" t="str">
        <x:v>우레탄 30통</x:v>
      </x:c>
      <x:c r="E6" s="51" t="str">
        <x:v>실제 18통 입고</x:v>
      </x:c>
      <x:c r="F6" s="52" t="n">
        <x:v>3900000</x:v>
      </x:c>
      <x:c r="G6" s="52" t="n">
        <x:v>2340000</x:v>
      </x:c>
      <x:c r="H6" s="52" t="n">
        <x:f>F6-G6</x:f>
        <x:v>1560000</x:v>
      </x:c>
      <x:c r="I6" s="51" t="str">
        <x:v>박</x:v>
      </x:c>
      <x:c r="J6" s="53" t="str">
        <x:v>B-2 재고 불일치</x:v>
      </x:c>
    </x:row>
    <x:row r="7">
      <x:c r="A7" s="50" t="n">
        <x:v>44819</x:v>
      </x:c>
      <x:c r="B7" s="51" t="str">
        <x:v>2022년</x:v>
      </x:c>
      <x:c r="C7" s="51" t="str">
        <x:v>전선 케이블</x:v>
      </x:c>
      <x:c r="D7" s="51" t="str">
        <x:v>현장 투입</x:v>
      </x:c>
      <x:c r="E7" s="51" t="str">
        <x:v>일부 외부 매각</x:v>
      </x:c>
      <x:c r="F7" s="52" t="n">
        <x:v>5600000</x:v>
      </x:c>
      <x:c r="G7" s="52" t="n">
        <x:v>3100000</x:v>
      </x:c>
      <x:c r="H7" s="52" t="n">
        <x:f>F7-G7</x:f>
        <x:v>2500000</x:v>
      </x:c>
      <x:c r="I7" s="51" t="str">
        <x:v>박</x:v>
      </x:c>
      <x:c r="J7" s="53" t="str">
        <x:v>동선 회수 완료</x:v>
      </x:c>
    </x:row>
    <x:row r="8">
      <x:c r="A8" s="50" t="n">
        <x:v>44861</x:v>
      </x:c>
      <x:c r="B8" s="51" t="str">
        <x:v>2022년</x:v>
      </x:c>
      <x:c r="C8" s="51" t="str">
        <x:v>야간 운송비</x:v>
      </x:c>
      <x:c r="D8" s="51" t="str">
        <x:v>긴급 운송</x:v>
      </x:c>
      <x:c r="E8" s="51" t="str">
        <x:v>실제 운송 없음</x:v>
      </x:c>
      <x:c r="F8" s="52" t="n">
        <x:v>1800000</x:v>
      </x:c>
      <x:c r="G8" s="52" t="n">
        <x:v>0</x:v>
      </x:c>
      <x:c r="H8" s="52" t="n">
        <x:f>F8-G8</x:f>
        <x:v>1800000</x:v>
      </x:c>
      <x:c r="I8" s="51" t="str">
        <x:v>이</x:v>
      </x:c>
      <x:c r="J8" s="53" t="str">
        <x:v>H운송 명의</x:v>
      </x:c>
    </x:row>
    <x:row r="9">
      <x:c r="A9" s="50" t="n">
        <x:v>44915</x:v>
      </x:c>
      <x:c r="B9" s="51" t="str">
        <x:v>2022년</x:v>
      </x:c>
      <x:c r="C9" s="51" t="str">
        <x:v>연말 창고 정리비</x:v>
      </x:c>
      <x:c r="D9" s="51" t="str">
        <x:v>정리 작업</x:v>
      </x:c>
      <x:c r="E9" s="51" t="str">
        <x:v>서류 처리</x:v>
      </x:c>
      <x:c r="F9" s="52" t="n">
        <x:v>4000000</x:v>
      </x:c>
      <x:c r="G9" s="52" t="n">
        <x:v>600000</x:v>
      </x:c>
      <x:c r="H9" s="52" t="n">
        <x:f>F9-G9</x:f>
        <x:v>3400000</x:v>
      </x:c>
      <x:c r="I9" s="51" t="str">
        <x:v>박</x:v>
      </x:c>
      <x:c r="J9" s="53" t="str">
        <x:v>현금 정산</x:v>
      </x:c>
    </x:row>
    <x:row r="10">
      <x:c r="A10" s="50" t="n">
        <x:v>44944</x:v>
      </x:c>
      <x:c r="B10" s="51" t="str">
        <x:v>2023년</x:v>
      </x:c>
      <x:c r="C10" s="51" t="str">
        <x:v>철근 잔여분</x:v>
      </x:c>
      <x:c r="D10" s="51" t="str">
        <x:v>폐기 처리</x:v>
      </x:c>
      <x:c r="E10" s="51" t="str">
        <x:v>외부 반출</x:v>
      </x:c>
      <x:c r="F10" s="52" t="n">
        <x:v>7200000</x:v>
      </x:c>
      <x:c r="G10" s="52" t="n">
        <x:v>2800000</x:v>
      </x:c>
      <x:c r="H10" s="52" t="n">
        <x:f>F10-G10</x:f>
        <x:v>4400000</x:v>
      </x:c>
      <x:c r="I10" s="51" t="str">
        <x:v>박</x:v>
      </x:c>
      <x:c r="J10" s="53" t="str">
        <x:v>B철강 회수</x:v>
      </x:c>
    </x:row>
    <x:row r="11">
      <x:c r="A11" s="50" t="n">
        <x:v>44983</x:v>
      </x:c>
      <x:c r="B11" s="51" t="str">
        <x:v>2023년</x:v>
      </x:c>
      <x:c r="C11" s="51" t="str">
        <x:v>자재 보관료</x:v>
      </x:c>
      <x:c r="D11" s="51" t="str">
        <x:v>장기 보관</x:v>
      </x:c>
      <x:c r="E11" s="51" t="str">
        <x:v>실제 보관 없음</x:v>
      </x:c>
      <x:c r="F11" s="52" t="n">
        <x:v>2400000</x:v>
      </x:c>
      <x:c r="G11" s="52" t="n">
        <x:v>0</x:v>
      </x:c>
      <x:c r="H11" s="52" t="n">
        <x:f>F11-G11</x:f>
        <x:v>2400000</x:v>
      </x:c>
      <x:c r="I11" s="51" t="str">
        <x:v>박</x:v>
      </x:c>
      <x:c r="J11" s="53" t="str">
        <x:v>협력사 명의</x:v>
      </x:c>
    </x:row>
    <x:row r="12">
      <x:c r="A12" s="50" t="n">
        <x:v>45021</x:v>
      </x:c>
      <x:c r="B12" s="51" t="str">
        <x:v>2023년</x:v>
      </x:c>
      <x:c r="C12" s="51" t="str">
        <x:v>창고 조명 교체</x:v>
      </x:c>
      <x:c r="D12" s="51" t="str">
        <x:v>전면 교체</x:v>
      </x:c>
      <x:c r="E12" s="51" t="str">
        <x:v>일부 교체</x:v>
      </x:c>
      <x:c r="F12" s="52" t="n">
        <x:v>3600000</x:v>
      </x:c>
      <x:c r="G12" s="52" t="n">
        <x:v>1250000</x:v>
      </x:c>
      <x:c r="H12" s="52" t="n">
        <x:f>F12-G12</x:f>
        <x:v>2350000</x:v>
      </x:c>
      <x:c r="I12" s="51" t="str">
        <x:v>이</x:v>
      </x:c>
      <x:c r="J12" s="53" t="str">
        <x:v>사진 자료 재사용</x:v>
      </x:c>
    </x:row>
    <x:row r="13">
      <x:c r="A13" s="50" t="n">
        <x:v>45063</x:v>
      </x:c>
      <x:c r="B13" s="51" t="str">
        <x:v>2023년</x:v>
      </x:c>
      <x:c r="C13" s="51" t="str">
        <x:v>안전발판 구매</x:v>
      </x:c>
      <x:c r="D13" s="51" t="str">
        <x:v>40개 구매</x:v>
      </x:c>
      <x:c r="E13" s="51" t="str">
        <x:v>22개 입고</x:v>
      </x:c>
      <x:c r="F13" s="52" t="n">
        <x:v>4800000</x:v>
      </x:c>
      <x:c r="G13" s="52" t="n">
        <x:v>2640000</x:v>
      </x:c>
      <x:c r="H13" s="52" t="n">
        <x:f>F13-G13</x:f>
        <x:v>2160000</x:v>
      </x:c>
      <x:c r="I13" s="51" t="str">
        <x:v>박</x:v>
      </x:c>
      <x:c r="J13" s="53" t="str">
        <x:v>입고표 수정</x:v>
      </x:c>
    </x:row>
    <x:row r="14">
      <x:c r="A14" s="50" t="n">
        <x:v>45107</x:v>
      </x:c>
      <x:c r="B14" s="51" t="str">
        <x:v>2023년</x:v>
      </x:c>
      <x:c r="C14" s="51" t="str">
        <x:v>폐기물 처리비</x:v>
      </x:c>
      <x:c r="D14" s="51" t="str">
        <x:v>혼합 폐기물</x:v>
      </x:c>
      <x:c r="E14" s="51" t="str">
        <x:v>일반 폐기물</x:v>
      </x:c>
      <x:c r="F14" s="52" t="n">
        <x:v>3300000</x:v>
      </x:c>
      <x:c r="G14" s="52" t="n">
        <x:v>1100000</x:v>
      </x:c>
      <x:c r="H14" s="52" t="n">
        <x:f>F14-G14</x:f>
        <x:v>2200000</x:v>
      </x:c>
      <x:c r="I14" s="51" t="str">
        <x:v>박</x:v>
      </x:c>
      <x:c r="J14" s="53" t="str">
        <x:v>처리등급 변경</x:v>
      </x:c>
    </x:row>
    <x:row r="15">
      <x:c r="A15" s="50" t="n">
        <x:v>45149</x:v>
      </x:c>
      <x:c r="B15" s="51" t="str">
        <x:v>2023년</x:v>
      </x:c>
      <x:c r="C15" s="51" t="str">
        <x:v>임시 가설재</x:v>
      </x:c>
      <x:c r="D15" s="51" t="str">
        <x:v>신규 구매</x:v>
      </x:c>
      <x:c r="E15" s="51" t="str">
        <x:v>기존 자재 재사용</x:v>
      </x:c>
      <x:c r="F15" s="52" t="n">
        <x:v>5100000</x:v>
      </x:c>
      <x:c r="G15" s="52" t="n">
        <x:v>700000</x:v>
      </x:c>
      <x:c r="H15" s="52" t="n">
        <x:f>F15-G15</x:f>
        <x:v>4400000</x:v>
      </x:c>
      <x:c r="I15" s="51" t="str">
        <x:v>박</x:v>
      </x:c>
      <x:c r="J15" s="53" t="str">
        <x:v>현장 확인 금지</x:v>
      </x:c>
    </x:row>
    <x:row r="16">
      <x:c r="A16" s="50" t="n">
        <x:v>45193</x:v>
      </x:c>
      <x:c r="B16" s="51" t="str">
        <x:v>2023년</x:v>
      </x:c>
      <x:c r="C16" s="51" t="str">
        <x:v>운반 장비 대여</x:v>
      </x:c>
      <x:c r="D16" s="51" t="str">
        <x:v>지게차 3일</x:v>
      </x:c>
      <x:c r="E16" s="51" t="str">
        <x:v>1일 사용</x:v>
      </x:c>
      <x:c r="F16" s="52" t="n">
        <x:v>2700000</x:v>
      </x:c>
      <x:c r="G16" s="52" t="n">
        <x:v>900000</x:v>
      </x:c>
      <x:c r="H16" s="52" t="n">
        <x:f>F16-G16</x:f>
        <x:v>1800000</x:v>
      </x:c>
      <x:c r="I16" s="51" t="str">
        <x:v>이</x:v>
      </x:c>
      <x:c r="J16" s="53" t="str">
        <x:v>대여확인서 보관</x:v>
      </x:c>
    </x:row>
    <x:row r="17">
      <x:c r="A17" s="50" t="n">
        <x:v>45239</x:v>
      </x:c>
      <x:c r="B17" s="51" t="str">
        <x:v>2023년</x:v>
      </x:c>
      <x:c r="C17" s="51" t="str">
        <x:v>방수재 추가분</x:v>
      </x:c>
      <x:c r="D17" s="51" t="str">
        <x:v>25통 구매</x:v>
      </x:c>
      <x:c r="E17" s="51" t="str">
        <x:v>14통 입고</x:v>
      </x:c>
      <x:c r="F17" s="52" t="n">
        <x:v>3250000</x:v>
      </x:c>
      <x:c r="G17" s="52" t="n">
        <x:v>1820000</x:v>
      </x:c>
      <x:c r="H17" s="52" t="n">
        <x:f>F17-G17</x:f>
        <x:v>1430000</x:v>
      </x:c>
      <x:c r="I17" s="51" t="str">
        <x:v>박</x:v>
      </x:c>
      <x:c r="J17" s="53" t="str">
        <x:v>B-4 임시 보관</x:v>
      </x:c>
    </x:row>
    <x:row r="18">
      <x:c r="A18" s="50" t="n">
        <x:v>45278</x:v>
      </x:c>
      <x:c r="B18" s="51" t="str">
        <x:v>2023년</x:v>
      </x:c>
      <x:c r="C18" s="51" t="str">
        <x:v>긴급 정리비</x:v>
      </x:c>
      <x:c r="D18" s="51" t="str">
        <x:v>현장 정리</x:v>
      </x:c>
      <x:c r="E18" s="51" t="str">
        <x:v>작업 없음</x:v>
      </x:c>
      <x:c r="F18" s="52" t="n">
        <x:v>4600000</x:v>
      </x:c>
      <x:c r="G18" s="52" t="n">
        <x:v>0</x:v>
      </x:c>
      <x:c r="H18" s="52" t="n">
        <x:f>F18-G18</x:f>
        <x:v>4600000</x:v>
      </x:c>
      <x:c r="I18" s="51" t="str">
        <x:v>박</x:v>
      </x:c>
      <x:c r="J18" s="53" t="str">
        <x:v>연말 비용 처리</x:v>
      </x:c>
    </x:row>
    <x:row r="19">
      <x:c r="A19" s="50" t="n">
        <x:v>45303</x:v>
      </x:c>
      <x:c r="B19" s="51" t="str">
        <x:v>2024년</x:v>
      </x:c>
      <x:c r="C19" s="51" t="str">
        <x:v>H빔 보강재</x:v>
      </x:c>
      <x:c r="D19" s="51" t="str">
        <x:v>현장 투입</x:v>
      </x:c>
      <x:c r="E19" s="51" t="str">
        <x:v>8본 외부 반출</x:v>
      </x:c>
      <x:c r="F19" s="52" t="n">
        <x:v>9600000</x:v>
      </x:c>
      <x:c r="G19" s="52" t="n">
        <x:v>4000000</x:v>
      </x:c>
      <x:c r="H19" s="52" t="n">
        <x:f>F19-G19</x:f>
        <x:v>5600000</x:v>
      </x:c>
      <x:c r="I19" s="51" t="str">
        <x:v>박</x:v>
      </x:c>
      <x:c r="J19" s="53" t="str">
        <x:v>야간 출고</x:v>
      </x:c>
    </x:row>
    <x:row r="20">
      <x:c r="A20" s="50" t="n">
        <x:v>45343</x:v>
      </x:c>
      <x:c r="B20" s="51" t="str">
        <x:v>2024년</x:v>
      </x:c>
      <x:c r="C20" s="51" t="str">
        <x:v>창고 셔터 수리</x:v>
      </x:c>
      <x:c r="D20" s="51" t="str">
        <x:v>부품 교체</x:v>
      </x:c>
      <x:c r="E20" s="51" t="str">
        <x:v>수리 없음</x:v>
      </x:c>
      <x:c r="F20" s="52" t="n">
        <x:v>2900000</x:v>
      </x:c>
      <x:c r="G20" s="52" t="n">
        <x:v>0</x:v>
      </x:c>
      <x:c r="H20" s="52" t="n">
        <x:f>F20-G20</x:f>
        <x:v>2900000</x:v>
      </x:c>
      <x:c r="I20" s="51" t="str">
        <x:v>이</x:v>
      </x:c>
      <x:c r="J20" s="53" t="str">
        <x:v>견적서만 보관</x:v>
      </x:c>
    </x:row>
    <x:row r="21">
      <x:c r="A21" s="50" t="n">
        <x:v>45366</x:v>
      </x:c>
      <x:c r="B21" s="51" t="str">
        <x:v>2024년</x:v>
      </x:c>
      <x:c r="C21" s="51" t="str">
        <x:v>안전망 구매</x:v>
      </x:c>
      <x:c r="D21" s="51" t="str">
        <x:v>50롤 구매</x:v>
      </x:c>
      <x:c r="E21" s="51" t="str">
        <x:v>31롤 입고</x:v>
      </x:c>
      <x:c r="F21" s="52" t="n">
        <x:v>4750000</x:v>
      </x:c>
      <x:c r="G21" s="52" t="n">
        <x:v>2945000</x:v>
      </x:c>
      <x:c r="H21" s="52" t="n">
        <x:f>F21-G21</x:f>
        <x:v>1805000</x:v>
      </x:c>
      <x:c r="I21" s="51" t="str">
        <x:v>박</x:v>
      </x:c>
      <x:c r="J21" s="53" t="str">
        <x:v>입고 수량 조정</x:v>
      </x:c>
    </x:row>
    <x:row r="22">
      <x:c r="A22" s="50" t="n">
        <x:v>45410</x:v>
      </x:c>
      <x:c r="B22" s="51" t="str">
        <x:v>2024년</x:v>
      </x:c>
      <x:c r="C22" s="51" t="str">
        <x:v>폐목재 처리</x:v>
      </x:c>
      <x:c r="D22" s="51" t="str">
        <x:v>폐기 처리</x:v>
      </x:c>
      <x:c r="E22" s="51" t="str">
        <x:v>일부 재판매</x:v>
      </x:c>
      <x:c r="F22" s="52" t="n">
        <x:v>2200000</x:v>
      </x:c>
      <x:c r="G22" s="52" t="n">
        <x:v>600000</x:v>
      </x:c>
      <x:c r="H22" s="52" t="n">
        <x:f>F22-G22</x:f>
        <x:v>1600000</x:v>
      </x:c>
      <x:c r="I22" s="51" t="str">
        <x:v>박</x:v>
      </x:c>
      <x:c r="J22" s="53" t="str">
        <x:v>처리업체 현금</x:v>
      </x:c>
    </x:row>
    <x:row r="23">
      <x:c r="A23" s="50" t="n">
        <x:v>45446</x:v>
      </x:c>
      <x:c r="B23" s="51" t="str">
        <x:v>2024년</x:v>
      </x:c>
      <x:c r="C23" s="51" t="str">
        <x:v>전기 배선 보강</x:v>
      </x:c>
      <x:c r="D23" s="51" t="str">
        <x:v>케이블 전량 투입</x:v>
      </x:c>
      <x:c r="E23" s="51" t="str">
        <x:v>일부 미투입</x:v>
      </x:c>
      <x:c r="F23" s="52" t="n">
        <x:v>6300000</x:v>
      </x:c>
      <x:c r="G23" s="52" t="n">
        <x:v>3900000</x:v>
      </x:c>
      <x:c r="H23" s="52" t="n">
        <x:f>F23-G23</x:f>
        <x:v>2400000</x:v>
      </x:c>
      <x:c r="I23" s="51" t="str">
        <x:v>박</x:v>
      </x:c>
      <x:c r="J23" s="53" t="str">
        <x:v>동선 별도 회수</x:v>
      </x:c>
    </x:row>
    <x:row r="24">
      <x:c r="A24" s="50" t="n">
        <x:v>45492</x:v>
      </x:c>
      <x:c r="B24" s="51" t="str">
        <x:v>2024년</x:v>
      </x:c>
      <x:c r="C24" s="51" t="str">
        <x:v>장비 운송비</x:v>
      </x:c>
      <x:c r="D24" s="51" t="str">
        <x:v>2회 운송</x:v>
      </x:c>
      <x:c r="E24" s="51" t="str">
        <x:v>1회 운송</x:v>
      </x:c>
      <x:c r="F24" s="52" t="n">
        <x:v>2400000</x:v>
      </x:c>
      <x:c r="G24" s="52" t="n">
        <x:v>1200000</x:v>
      </x:c>
      <x:c r="H24" s="52" t="n">
        <x:f>F24-G24</x:f>
        <x:v>1200000</x:v>
      </x:c>
      <x:c r="I24" s="51" t="str">
        <x:v>이</x:v>
      </x:c>
      <x:c r="J24" s="53" t="str">
        <x:v>H운송 처리</x:v>
      </x:c>
    </x:row>
    <x:row r="25">
      <x:c r="A25" s="50" t="n">
        <x:v>45531</x:v>
      </x:c>
      <x:c r="B25" s="51" t="str">
        <x:v>2024년</x:v>
      </x:c>
      <x:c r="C25" s="51" t="str">
        <x:v>방수재 긴급 구매</x:v>
      </x:c>
      <x:c r="D25" s="51" t="str">
        <x:v>40통 구매</x:v>
      </x:c>
      <x:c r="E25" s="51" t="str">
        <x:v>25통 입고</x:v>
      </x:c>
      <x:c r="F25" s="52" t="n">
        <x:v>5200000</x:v>
      </x:c>
      <x:c r="G25" s="52" t="n">
        <x:v>3250000</x:v>
      </x:c>
      <x:c r="H25" s="52" t="n">
        <x:f>F25-G25</x:f>
        <x:v>1950000</x:v>
      </x:c>
      <x:c r="I25" s="51" t="str">
        <x:v>박</x:v>
      </x:c>
      <x:c r="J25" s="53" t="str">
        <x:v>감사 자료 제외</x:v>
      </x:c>
    </x:row>
    <x:row r="26">
      <x:c r="A26" s="50" t="n">
        <x:v>45567</x:v>
      </x:c>
      <x:c r="B26" s="51" t="str">
        <x:v>2024년</x:v>
      </x:c>
      <x:c r="C26" s="51" t="str">
        <x:v>창고 환기설비</x:v>
      </x:c>
      <x:c r="D26" s="51" t="str">
        <x:v>필터 교체</x:v>
      </x:c>
      <x:c r="E26" s="51" t="str">
        <x:v>교체 없음</x:v>
      </x:c>
      <x:c r="F26" s="52" t="n">
        <x:v>1900000</x:v>
      </x:c>
      <x:c r="G26" s="52" t="n">
        <x:v>0</x:v>
      </x:c>
      <x:c r="H26" s="52" t="n">
        <x:f>F26-G26</x:f>
        <x:v>1900000</x:v>
      </x:c>
      <x:c r="I26" s="51" t="str">
        <x:v>이</x:v>
      </x:c>
      <x:c r="J26" s="53" t="str">
        <x:v>사진 재사용</x:v>
      </x:c>
    </x:row>
    <x:row r="27">
      <x:c r="A27" s="50" t="n">
        <x:v>45610</x:v>
      </x:c>
      <x:c r="B27" s="51" t="str">
        <x:v>2024년</x:v>
      </x:c>
      <x:c r="C27" s="51" t="str">
        <x:v>안전장비 추가분</x:v>
      </x:c>
      <x:c r="D27" s="51" t="str">
        <x:v>안전벨트 30개</x:v>
      </x:c>
      <x:c r="E27" s="51" t="str">
        <x:v>16개 입고</x:v>
      </x:c>
      <x:c r="F27" s="52" t="n">
        <x:v>3600000</x:v>
      </x:c>
      <x:c r="G27" s="52" t="n">
        <x:v>1920000</x:v>
      </x:c>
      <x:c r="H27" s="52" t="n">
        <x:f>F27-G27</x:f>
        <x:v>1680000</x:v>
      </x:c>
      <x:c r="I27" s="51" t="str">
        <x:v>박</x:v>
      </x:c>
      <x:c r="J27" s="53" t="str">
        <x:v>재고표 수정</x:v>
      </x:c>
    </x:row>
    <x:row r="28">
      <x:c r="A28" s="50" t="n">
        <x:v>45649</x:v>
      </x:c>
      <x:c r="B28" s="51" t="str">
        <x:v>2024년</x:v>
      </x:c>
      <x:c r="C28" s="51" t="str">
        <x:v>연말 폐기 정리</x:v>
      </x:c>
      <x:c r="D28" s="51" t="str">
        <x:v>폐기 처리</x:v>
      </x:c>
      <x:c r="E28" s="51" t="str">
        <x:v>서류 처리</x:v>
      </x:c>
      <x:c r="F28" s="52" t="n">
        <x:v>5500000</x:v>
      </x:c>
      <x:c r="G28" s="52" t="n">
        <x:v>800000</x:v>
      </x:c>
      <x:c r="H28" s="52" t="n">
        <x:f>F28-G28</x:f>
        <x:v>4700000</x:v>
      </x:c>
      <x:c r="I28" s="51" t="str">
        <x:v>박</x:v>
      </x:c>
      <x:c r="J28" s="53" t="str">
        <x:v>N 확인</x:v>
      </x:c>
    </x:row>
    <x:row r="29">
      <x:c r="A29" s="50" t="n">
        <x:v>45673</x:v>
      </x:c>
      <x:c r="B29" s="51" t="str">
        <x:v>2025년</x:v>
      </x:c>
      <x:c r="C29" s="51" t="str">
        <x:v>철근 잔여분</x:v>
      </x:c>
      <x:c r="D29" s="51" t="str">
        <x:v>폐기 처리</x:v>
      </x:c>
      <x:c r="E29" s="51" t="str">
        <x:v>외부 반출</x:v>
      </x:c>
      <x:c r="F29" s="52" t="n">
        <x:v>8400000</x:v>
      </x:c>
      <x:c r="G29" s="52" t="n">
        <x:v>3600000</x:v>
      </x:c>
      <x:c r="H29" s="52" t="n">
        <x:f>F29-G29</x:f>
        <x:v>4800000</x:v>
      </x:c>
      <x:c r="I29" s="51" t="str">
        <x:v>박</x:v>
      </x:c>
      <x:c r="J29" s="53" t="str">
        <x:v>B철강 회수</x:v>
      </x:c>
    </x:row>
    <x:row r="30">
      <x:c r="A30" s="50" t="n">
        <x:v>45695</x:v>
      </x:c>
      <x:c r="B30" s="51" t="str">
        <x:v>2025년</x:v>
      </x:c>
      <x:c r="C30" s="51" t="str">
        <x:v>창고 보수비</x:v>
      </x:c>
      <x:c r="D30" s="51" t="str">
        <x:v>벽체 보수</x:v>
      </x:c>
      <x:c r="E30" s="51" t="str">
        <x:v>작업 없음</x:v>
      </x:c>
      <x:c r="F30" s="52" t="n">
        <x:v>3500000</x:v>
      </x:c>
      <x:c r="G30" s="52" t="n">
        <x:v>0</x:v>
      </x:c>
      <x:c r="H30" s="52" t="n">
        <x:f>F30-G30</x:f>
        <x:v>3500000</x:v>
      </x:c>
      <x:c r="I30" s="51" t="str">
        <x:v>이</x:v>
      </x:c>
      <x:c r="J30" s="53" t="str">
        <x:v>K건설 세금계산서</x:v>
      </x:c>
    </x:row>
    <x:row r="31">
      <x:c r="A31" s="50" t="n">
        <x:v>45734</x:v>
      </x:c>
      <x:c r="B31" s="51" t="str">
        <x:v>2025년</x:v>
      </x:c>
      <x:c r="C31" s="51" t="str">
        <x:v>안전난간 교체</x:v>
      </x:c>
      <x:c r="D31" s="51" t="str">
        <x:v>전량 교체</x:v>
      </x:c>
      <x:c r="E31" s="51" t="str">
        <x:v>일부만 교체</x:v>
      </x:c>
      <x:c r="F31" s="52" t="n">
        <x:v>4900000</x:v>
      </x:c>
      <x:c r="G31" s="52" t="n">
        <x:v>2450000</x:v>
      </x:c>
      <x:c r="H31" s="52" t="n">
        <x:f>F31-G31</x:f>
        <x:v>2450000</x:v>
      </x:c>
      <x:c r="I31" s="51" t="str">
        <x:v>박</x:v>
      </x:c>
      <x:c r="J31" s="53" t="str">
        <x:v>사진 자료 편집</x:v>
      </x:c>
    </x:row>
    <x:row r="32">
      <x:c r="A32" s="50" t="n">
        <x:v>45769</x:v>
      </x:c>
      <x:c r="B32" s="51" t="str">
        <x:v>2025년</x:v>
      </x:c>
      <x:c r="C32" s="51" t="str">
        <x:v>폐기물 처리비</x:v>
      </x:c>
      <x:c r="D32" s="51" t="str">
        <x:v>혼합 폐기물</x:v>
      </x:c>
      <x:c r="E32" s="51" t="str">
        <x:v>일반 폐기물</x:v>
      </x:c>
      <x:c r="F32" s="52" t="n">
        <x:v>3800000</x:v>
      </x:c>
      <x:c r="G32" s="52" t="n">
        <x:v>1300000</x:v>
      </x:c>
      <x:c r="H32" s="52" t="n">
        <x:f>F32-G32</x:f>
        <x:v>2500000</x:v>
      </x:c>
      <x:c r="I32" s="51" t="str">
        <x:v>박</x:v>
      </x:c>
      <x:c r="J32" s="53" t="str">
        <x:v>등급 변경</x:v>
      </x:c>
    </x:row>
    <x:row r="33">
      <x:c r="A33" s="50" t="n">
        <x:v>45786</x:v>
      </x:c>
      <x:c r="B33" s="51" t="str">
        <x:v>2025년</x:v>
      </x:c>
      <x:c r="C33" s="51" t="str">
        <x:v>방수재 구매</x:v>
      </x:c>
      <x:c r="D33" s="51" t="str">
        <x:v>45통 구매</x:v>
      </x:c>
      <x:c r="E33" s="51" t="str">
        <x:v>28통 입고</x:v>
      </x:c>
      <x:c r="F33" s="52" t="n">
        <x:v>5850000</x:v>
      </x:c>
      <x:c r="G33" s="52" t="n">
        <x:v>3640000</x:v>
      </x:c>
      <x:c r="H33" s="52" t="n">
        <x:f>F33-G33</x:f>
        <x:v>2210000</x:v>
      </x:c>
      <x:c r="I33" s="51" t="str">
        <x:v>박</x:v>
      </x:c>
      <x:c r="J33" s="53" t="str">
        <x:v>B-4 보관 처리</x:v>
      </x:c>
    </x:row>
    <x:row r="34">
      <x:c r="A34" s="50" t="n">
        <x:v>45822</x:v>
      </x:c>
      <x:c r="B34" s="51" t="str">
        <x:v>2025년</x:v>
      </x:c>
      <x:c r="C34" s="51" t="str">
        <x:v>지게차 대여</x:v>
      </x:c>
      <x:c r="D34" s="51" t="str">
        <x:v>4일 대여</x:v>
      </x:c>
      <x:c r="E34" s="51" t="str">
        <x:v>1일 사용</x:v>
      </x:c>
      <x:c r="F34" s="52" t="n">
        <x:v>3600000</x:v>
      </x:c>
      <x:c r="G34" s="52" t="n">
        <x:v>900000</x:v>
      </x:c>
      <x:c r="H34" s="52" t="n">
        <x:f>F34-G34</x:f>
        <x:v>2700000</x:v>
      </x:c>
      <x:c r="I34" s="51" t="str">
        <x:v>이</x:v>
      </x:c>
      <x:c r="J34" s="53" t="str">
        <x:v>대여확인서 보관</x:v>
      </x:c>
    </x:row>
    <x:row r="35">
      <x:c r="A35" s="50" t="n">
        <x:v>45868</x:v>
      </x:c>
      <x:c r="B35" s="51" t="str">
        <x:v>2025년</x:v>
      </x:c>
      <x:c r="C35" s="51" t="str">
        <x:v>전기 케이블</x:v>
      </x:c>
      <x:c r="D35" s="51" t="str">
        <x:v>현장 투입</x:v>
      </x:c>
      <x:c r="E35" s="51" t="str">
        <x:v>일부 외부 매각</x:v>
      </x:c>
      <x:c r="F35" s="52" t="n">
        <x:v>7200000</x:v>
      </x:c>
      <x:c r="G35" s="52" t="n">
        <x:v>4100000</x:v>
      </x:c>
      <x:c r="H35" s="52" t="n">
        <x:f>F35-G35</x:f>
        <x:v>3100000</x:v>
      </x:c>
      <x:c r="I35" s="51" t="str">
        <x:v>박</x:v>
      </x:c>
      <x:c r="J35" s="53" t="str">
        <x:v>동선 회수</x:v>
      </x:c>
    </x:row>
    <x:row r="36">
      <x:c r="A36" s="50" t="n">
        <x:v>45890</x:v>
      </x:c>
      <x:c r="B36" s="51" t="str">
        <x:v>2025년</x:v>
      </x:c>
      <x:c r="C36" s="51" t="str">
        <x:v>창고 정리 인건비</x:v>
      </x:c>
      <x:c r="D36" s="51" t="str">
        <x:v>8명 투입</x:v>
      </x:c>
      <x:c r="E36" s="51" t="str">
        <x:v>3명 투입</x:v>
      </x:c>
      <x:c r="F36" s="52" t="n">
        <x:v>2800000</x:v>
      </x:c>
      <x:c r="G36" s="52" t="n">
        <x:v>1050000</x:v>
      </x:c>
      <x:c r="H36" s="52" t="n">
        <x:f>F36-G36</x:f>
        <x:v>1750000</x:v>
      </x:c>
      <x:c r="I36" s="51" t="str">
        <x:v>박</x:v>
      </x:c>
      <x:c r="J36" s="53" t="str">
        <x:v>일용직 서명 대체</x:v>
      </x:c>
    </x:row>
    <x:row r="37">
      <x:c r="A37" s="50" t="n">
        <x:v>45926</x:v>
      </x:c>
      <x:c r="B37" s="51" t="str">
        <x:v>2025년</x:v>
      </x:c>
      <x:c r="C37" s="51" t="str">
        <x:v>협력업체 보상비</x:v>
      </x:c>
      <x:c r="D37" s="51" t="str">
        <x:v>납품 지연 보상</x:v>
      </x:c>
      <x:c r="E37" s="51" t="str">
        <x:v>실제 지급 없음</x:v>
      </x:c>
      <x:c r="F37" s="52" t="n">
        <x:v>2500000</x:v>
      </x:c>
      <x:c r="G37" s="52" t="n">
        <x:v>0</x:v>
      </x:c>
      <x:c r="H37" s="52" t="n">
        <x:f>F37-G37</x:f>
        <x:v>2500000</x:v>
      </x:c>
      <x:c r="I37" s="51" t="str">
        <x:v>박</x:v>
      </x:c>
      <x:c r="J37" s="53" t="str">
        <x:v>K자재 처리</x:v>
      </x:c>
    </x:row>
    <x:row r="38">
      <x:c r="A38" s="50" t="n">
        <x:v>45961</x:v>
      </x:c>
      <x:c r="B38" s="51" t="str">
        <x:v>2025년</x:v>
      </x:c>
      <x:c r="C38" s="51" t="str">
        <x:v>안전장비 추가 구매</x:v>
      </x:c>
      <x:c r="D38" s="51" t="str">
        <x:v>안전모 40개</x:v>
      </x:c>
      <x:c r="E38" s="51" t="str">
        <x:v>23개 입고</x:v>
      </x:c>
      <x:c r="F38" s="52" t="n">
        <x:v>2800000</x:v>
      </x:c>
      <x:c r="G38" s="52" t="n">
        <x:v>1610000</x:v>
      </x:c>
      <x:c r="H38" s="52" t="n">
        <x:f>F38-G38</x:f>
        <x:v>1190000</x:v>
      </x:c>
      <x:c r="I38" s="51" t="str">
        <x:v>이</x:v>
      </x:c>
      <x:c r="J38" s="53" t="str">
        <x:v>입고표 수정</x:v>
      </x:c>
    </x:row>
    <x:row r="39">
      <x:c r="A39" s="50" t="n">
        <x:v>45979</x:v>
      </x:c>
      <x:c r="B39" s="51" t="str">
        <x:v>2025년</x:v>
      </x:c>
      <x:c r="C39" s="51" t="str">
        <x:v>긴급 현장 정리</x:v>
      </x:c>
      <x:c r="D39" s="51" t="str">
        <x:v>정리 완료</x:v>
      </x:c>
      <x:c r="E39" s="51" t="str">
        <x:v>작업 없음</x:v>
      </x:c>
      <x:c r="F39" s="52" t="n">
        <x:v>4700000</x:v>
      </x:c>
      <x:c r="G39" s="52" t="n">
        <x:v>0</x:v>
      </x:c>
      <x:c r="H39" s="52" t="n">
        <x:f>F39-G39</x:f>
        <x:v>4700000</x:v>
      </x:c>
      <x:c r="I39" s="51" t="str">
        <x:v>박</x:v>
      </x:c>
      <x:c r="J39" s="53" t="str">
        <x:v>사장 보고 전 보류</x:v>
      </x:c>
    </x:row>
    <x:row r="40">
      <x:c r="A40" s="50" t="n">
        <x:v>46013</x:v>
      </x:c>
      <x:c r="B40" s="51" t="str">
        <x:v>2025년</x:v>
      </x:c>
      <x:c r="C40" s="51" t="str">
        <x:v>연말 정산 조정</x:v>
      </x:c>
      <x:c r="D40" s="51" t="str">
        <x:v>장부 정리</x:v>
      </x:c>
      <x:c r="E40" s="51" t="str">
        <x:v>차액 이월</x:v>
      </x:c>
      <x:c r="F40" s="52" t="n">
        <x:v>6200000</x:v>
      </x:c>
      <x:c r="G40" s="52" t="n">
        <x:v>1000000</x:v>
      </x:c>
      <x:c r="H40" s="52" t="n">
        <x:f>F40-G40</x:f>
        <x:v>5200000</x:v>
      </x:c>
      <x:c r="I40" s="51" t="str">
        <x:v>박</x:v>
      </x:c>
      <x:c r="J40" s="53" t="str">
        <x:v>N 확인</x:v>
      </x:c>
    </x:row>
    <x:row r="41">
      <x:c r="A41" s="50" t="n">
        <x:v>46031</x:v>
      </x:c>
      <x:c r="B41" s="51" t="str">
        <x:v>2026년</x:v>
      </x:c>
      <x:c r="C41" s="51" t="str">
        <x:v>창고 재고 조정</x:v>
      </x:c>
      <x:c r="D41" s="51" t="str">
        <x:v>수량 일괄 수정</x:v>
      </x:c>
      <x:c r="E41" s="51" t="str">
        <x:v>실재고 미확인</x:v>
      </x:c>
      <x:c r="F41" s="52" t="n">
        <x:v>2600000</x:v>
      </x:c>
      <x:c r="G41" s="52" t="n">
        <x:v>0</x:v>
      </x:c>
      <x:c r="H41" s="52" t="n">
        <x:f>F41-G41</x:f>
        <x:v>2600000</x:v>
      </x:c>
      <x:c r="I41" s="51" t="str">
        <x:v>이</x:v>
      </x:c>
      <x:c r="J41" s="53" t="str">
        <x:v>반출대장 수정</x:v>
      </x:c>
    </x:row>
    <x:row r="42">
      <x:c r="A42" s="50" t="n">
        <x:v>46066</x:v>
      </x:c>
      <x:c r="B42" s="51" t="str">
        <x:v>2026년</x:v>
      </x:c>
      <x:c r="C42" s="51" t="str">
        <x:v>철근 잔여분</x:v>
      </x:c>
      <x:c r="D42" s="51" t="str">
        <x:v>폐기 처리</x:v>
      </x:c>
      <x:c r="E42" s="51" t="str">
        <x:v>외부 반출</x:v>
      </x:c>
      <x:c r="F42" s="52" t="n">
        <x:v>9300000</x:v>
      </x:c>
      <x:c r="G42" s="52" t="n">
        <x:v>4200000</x:v>
      </x:c>
      <x:c r="H42" s="52" t="n">
        <x:f>F42-G42</x:f>
        <x:v>5100000</x:v>
      </x:c>
      <x:c r="I42" s="51" t="str">
        <x:v>박</x:v>
      </x:c>
      <x:c r="J42" s="53" t="str">
        <x:v>야간 출고</x:v>
      </x:c>
    </x:row>
    <x:row r="43">
      <x:c r="A43" s="50" t="n">
        <x:v>46087</x:v>
      </x:c>
      <x:c r="B43" s="51" t="str">
        <x:v>2026년</x:v>
      </x:c>
      <x:c r="C43" s="51" t="str">
        <x:v>방수재 추가 구매</x:v>
      </x:c>
      <x:c r="D43" s="51" t="str">
        <x:v>50통 구매</x:v>
      </x:c>
      <x:c r="E43" s="51" t="str">
        <x:v>31통 입고</x:v>
      </x:c>
      <x:c r="F43" s="52" t="n">
        <x:v>6500000</x:v>
      </x:c>
      <x:c r="G43" s="52" t="n">
        <x:v>4030000</x:v>
      </x:c>
      <x:c r="H43" s="52" t="n">
        <x:f>F43-G43</x:f>
        <x:v>2470000</x:v>
      </x:c>
      <x:c r="I43" s="51" t="str">
        <x:v>박</x:v>
      </x:c>
      <x:c r="J43" s="53" t="str">
        <x:v>재고표 불일치</x:v>
      </x:c>
    </x:row>
    <x:row r="44">
      <x:c r="A44" s="50" t="n">
        <x:v>46109</x:v>
      </x:c>
      <x:c r="B44" s="51" t="str">
        <x:v>2026년</x:v>
      </x:c>
      <x:c r="C44" s="51" t="str">
        <x:v>안전발판 보강</x:v>
      </x:c>
      <x:c r="D44" s="51" t="str">
        <x:v>신규 구매</x:v>
      </x:c>
      <x:c r="E44" s="51" t="str">
        <x:v>기존품 재사용</x:v>
      </x:c>
      <x:c r="F44" s="52" t="n">
        <x:v>4200000</x:v>
      </x:c>
      <x:c r="G44" s="52" t="n">
        <x:v>600000</x:v>
      </x:c>
      <x:c r="H44" s="52" t="n">
        <x:f>F44-G44</x:f>
        <x:v>3600000</x:v>
      </x:c>
      <x:c r="I44" s="51" t="str">
        <x:v>박</x:v>
      </x:c>
      <x:c r="J44" s="53" t="str">
        <x:v>사진 재사용</x:v>
      </x:c>
    </x:row>
    <x:row r="45">
      <x:c r="A45" s="50" t="n">
        <x:v>46127</x:v>
      </x:c>
      <x:c r="B45" s="51" t="str">
        <x:v>2026년</x:v>
      </x:c>
      <x:c r="C45" s="51" t="str">
        <x:v>폐기물 처리비</x:v>
      </x:c>
      <x:c r="D45" s="51" t="str">
        <x:v>지정 폐기물</x:v>
      </x:c>
      <x:c r="E45" s="51" t="str">
        <x:v>일반 폐기물</x:v>
      </x:c>
      <x:c r="F45" s="52" t="n">
        <x:v>4400000</x:v>
      </x:c>
      <x:c r="G45" s="52" t="n">
        <x:v>1200000</x:v>
      </x:c>
      <x:c r="H45" s="52" t="n">
        <x:f>F45-G45</x:f>
        <x:v>3200000</x:v>
      </x:c>
      <x:c r="I45" s="51" t="str">
        <x:v>박</x:v>
      </x:c>
      <x:c r="J45" s="53" t="str">
        <x:v>처리등급 조정</x:v>
      </x:c>
    </x:row>
    <x:row r="46">
      <x:c r="A46" s="50" t="n">
        <x:v>46145</x:v>
      </x:c>
      <x:c r="B46" s="51" t="str">
        <x:v>2026년</x:v>
      </x:c>
      <x:c r="C46" s="51" t="str">
        <x:v>창고 B구역 정리</x:v>
      </x:c>
      <x:c r="D46" s="51" t="str">
        <x:v>자료 이동</x:v>
      </x:c>
      <x:c r="E46" s="51" t="str">
        <x:v>B-4 별도 보관</x:v>
      </x:c>
      <x:c r="F46" s="52" t="n">
        <x:v>1800000</x:v>
      </x:c>
      <x:c r="G46" s="52" t="n">
        <x:v>300000</x:v>
      </x:c>
      <x:c r="H46" s="52" t="n">
        <x:f>F46-G46</x:f>
        <x:v>1500000</x:v>
      </x:c>
      <x:c r="I46" s="51" t="str">
        <x:v>박</x:v>
      </x:c>
      <x:c r="J46" s="53" t="str">
        <x:v>원본 보관</x:v>
      </x:c>
    </x:row>
    <x:row r="47">
      <x:c r="A47" s="50" t="n">
        <x:v>46169</x:v>
      </x:c>
      <x:c r="B47" s="51" t="str">
        <x:v>2026년</x:v>
      </x:c>
      <x:c r="C47" s="51" t="str">
        <x:v>협력사 입막음</x:v>
      </x:c>
      <x:c r="D47" s="51" t="str">
        <x:v>납품수량 무마</x:v>
      </x:c>
      <x:c r="E47" s="51" t="str">
        <x:v>현금 지급</x:v>
      </x:c>
      <x:c r="F47" s="52" t="n">
        <x:v>3000000</x:v>
      </x:c>
      <x:c r="G47" s="52" t="n">
        <x:v>1000000</x:v>
      </x:c>
      <x:c r="H47" s="52" t="n">
        <x:f>F47-G47</x:f>
        <x:v>2000000</x:v>
      </x:c>
      <x:c r="I47" s="51" t="str">
        <x:v>박</x:v>
      </x:c>
      <x:c r="J47" s="53" t="str">
        <x:v>K자재</x:v>
      </x:c>
    </x:row>
    <x:row r="48">
      <x:c r="A48" s="50" t="n">
        <x:v>46183</x:v>
      </x:c>
      <x:c r="B48" s="51" t="str">
        <x:v>2026년</x:v>
      </x:c>
      <x:c r="C48" s="51" t="str">
        <x:v>원본 반출대장 수정</x:v>
      </x:c>
      <x:c r="D48" s="51" t="str">
        <x:v>일부 교체</x:v>
      </x:c>
      <x:c r="E48" s="51" t="str">
        <x:v>입력 수정</x:v>
      </x:c>
      <x:c r="F48" s="52" t="n">
        <x:v>2400000</x:v>
      </x:c>
      <x:c r="G48" s="52" t="n">
        <x:v>800000</x:v>
      </x:c>
      <x:c r="H48" s="52" t="n">
        <x:f>F48-G48</x:f>
        <x:v>1600000</x:v>
      </x:c>
      <x:c r="I48" s="51" t="str">
        <x:v>이</x:v>
      </x:c>
      <x:c r="J48" s="53" t="str">
        <x:v>감사 전 정리</x:v>
      </x:c>
    </x:row>
    <x:row r="49">
      <x:c r="A49" s="50" t="n">
        <x:v>46191</x:v>
      </x:c>
      <x:c r="B49" s="51" t="str">
        <x:v>2026년</x:v>
      </x:c>
      <x:c r="C49" s="51" t="str">
        <x:v>현장 사고 처리</x:v>
      </x:c>
      <x:c r="D49" s="51" t="str">
        <x:v>외부 보고 차단</x:v>
      </x:c>
      <x:c r="E49" s="51" t="str">
        <x:v>내부 처리</x:v>
      </x:c>
      <x:c r="F49" s="52" t="n">
        <x:v>1700000</x:v>
      </x:c>
      <x:c r="G49" s="52" t="n">
        <x:v>500000</x:v>
      </x:c>
      <x:c r="H49" s="52" t="n">
        <x:f>F49-G49</x:f>
        <x:v>1200000</x:v>
      </x:c>
      <x:c r="I49" s="51" t="str">
        <x:v>박</x:v>
      </x:c>
      <x:c r="J49" s="53" t="str">
        <x:v>김사원 건</x:v>
      </x:c>
    </x:row>
    <x:row r="50">
      <x:c r="A50" s="54" t="n">
        <x:v>46197</x:v>
      </x:c>
      <x:c r="B50" s="55" t="str">
        <x:v>2026년</x:v>
      </x:c>
      <x:c r="C50" s="55" t="str">
        <x:v>B-4 자료 최종 정리</x:v>
      </x:c>
      <x:c r="D50" s="55" t="str">
        <x:v>장부 원본 확인</x:v>
      </x:c>
      <x:c r="E50" s="55" t="str">
        <x:v>별도 보관</x:v>
      </x:c>
      <x:c r="F50" s="56" t="n">
        <x:v>3500000</x:v>
      </x:c>
      <x:c r="G50" s="56" t="n">
        <x:v>500000</x:v>
      </x:c>
      <x:c r="H50" s="56" t="n">
        <x:f>F50-G50</x:f>
        <x:v>3000000</x:v>
      </x:c>
      <x:c r="I50" s="55" t="str">
        <x:v>박</x:v>
      </x:c>
      <x:c r="J50" s="57" t="str">
        <x:v>사장 답변 대기</x:v>
      </x:c>
    </x:row>
    <x:row r="51">
      <x:c r="A51" s="51"/>
      <x:c r="B51" s="51"/>
      <x:c r="C51" s="51"/>
      <x:c r="D51" s="51"/>
      <x:c r="E51" s="51"/>
      <x:c r="F51" s="51"/>
      <x:c r="G51" s="51"/>
      <x:c r="H51" s="51"/>
      <x:c r="I51" s="51"/>
      <x:c r="J51" s="51"/>
    </x:row>
    <x:row r="52">
      <x:c r="A52" s="58" t="str">
        <x:v>총 누적 차액</x:v>
      </x:c>
      <x:c r="B52" s="58" t="str"/>
      <x:c r="C52" s="58" t="str"/>
      <x:c r="D52" s="58" t="str"/>
      <x:c r="E52" s="58" t="str"/>
      <x:c r="F52" s="58" t="str"/>
      <x:c r="G52" s="58" t="str"/>
      <x:c r="H52" s="59" t="n">
        <x:f>SUM(H2:H50)</x:f>
        <x:v>135405000</x:v>
      </x:c>
      <x:c r="I52" s="51"/>
      <x:c r="J52" s="51"/>
    </x:row>
  </x:sheetData>
  <x:conditionalFormatting sqref="J2:J50">
    <x:cfRule type="expression" dxfId="0" priority="1">
      <x:formula>ISNUMBER(SEARCH("N",J2))</x:formula>
    </x:cfRule>
    <x:cfRule type="expression" dxfId="1" priority="2">
      <x:formula>ISNUMBER(SEARCH("김사원",J2))</x:formula>
    </x:cfRule>
  </x:conditionalFormatting>
  <x:conditionalFormatting sqref="H2:H50">
    <x:cfRule type="cellIs" dxfId="2" priority="3" operator="greaterThan">
      <x:formula>4000000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cf1db22845d44b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8" hidden="0" customWidth="1"/>
    <x:col min="5" max="5" width="12" hidden="0" customWidth="1"/>
  </x:cols>
  <x:sheetData>
    <x:row r="1">
      <x:c r="A1" s="5" t="str">
        <x:v>연도</x:v>
      </x:c>
      <x:c r="B1" s="5" t="str">
        <x:v>장부상 금액 합계</x:v>
      </x:c>
      <x:c r="C1" s="5" t="str">
        <x:v>실제 금액 합계</x:v>
      </x:c>
      <x:c r="D1" s="5" t="str">
        <x:v>차액 합계</x:v>
      </x:c>
      <x:c r="E1" s="5" t="str">
        <x:v>건수</x:v>
      </x:c>
    </x:row>
    <x:row r="2">
      <x:c r="A2" t="str">
        <x:v>2022년</x:v>
      </x:c>
      <x:c r="B2" s="31" t="n">
        <x:f>SUMIF('전체내역'!$B:$B,A2,'전체내역'!$F:$F)</x:f>
        <x:v>32500000</x:v>
      </x:c>
      <x:c r="C2" s="31" t="n">
        <x:f>SUMIF('전체내역'!$B:$B,A2,'전체내역'!$G:$G)</x:f>
        <x:v>11440000</x:v>
      </x:c>
      <x:c r="D2" s="31" t="n">
        <x:f>SUMIF('전체내역'!$B:$B,A2,'전체내역'!$H:$H)</x:f>
        <x:v>21060000</x:v>
      </x:c>
      <x:c r="E2" s="73" t="n">
        <x:f>COUNTIF('전체내역'!$B:$B,A2)</x:f>
        <x:v>8</x:v>
      </x:c>
    </x:row>
    <x:row r="3">
      <x:c r="A3" t="str">
        <x:v>2023년</x:v>
      </x:c>
      <x:c r="B3" s="31" t="n">
        <x:f>SUMIF('전체내역'!$B:$B,A3,'전체내역'!$F:$F)</x:f>
        <x:v>36950000</x:v>
      </x:c>
      <x:c r="C3" s="31" t="n">
        <x:f>SUMIF('전체내역'!$B:$B,A3,'전체내역'!$G:$G)</x:f>
        <x:v>11210000</x:v>
      </x:c>
      <x:c r="D3" s="31" t="n">
        <x:f>SUMIF('전체내역'!$B:$B,A3,'전체내역'!$H:$H)</x:f>
        <x:v>25740000</x:v>
      </x:c>
      <x:c r="E3" s="73" t="n">
        <x:f>COUNTIF('전체내역'!$B:$B,A3)</x:f>
        <x:v>9</x:v>
      </x:c>
    </x:row>
    <x:row r="4">
      <x:c r="A4" t="str">
        <x:v>2024년</x:v>
      </x:c>
      <x:c r="B4" s="31" t="n">
        <x:f>SUMIF('전체내역'!$B:$B,A4,'전체내역'!$F:$F)</x:f>
        <x:v>44350000</x:v>
      </x:c>
      <x:c r="C4" s="31" t="n">
        <x:f>SUMIF('전체내역'!$B:$B,A4,'전체내역'!$G:$G)</x:f>
        <x:v>18615000</x:v>
      </x:c>
      <x:c r="D4" s="31" t="n">
        <x:f>SUMIF('전체내역'!$B:$B,A4,'전체내역'!$H:$H)</x:f>
        <x:v>25735000</x:v>
      </x:c>
      <x:c r="E4" s="73" t="n">
        <x:f>COUNTIF('전체내역'!$B:$B,A4)</x:f>
        <x:v>10</x:v>
      </x:c>
    </x:row>
    <x:row r="5">
      <x:c r="A5" t="str">
        <x:v>2025년</x:v>
      </x:c>
      <x:c r="B5" s="31" t="n">
        <x:f>SUMIF('전체내역'!$B:$B,A5,'전체내역'!$F:$F)</x:f>
        <x:v>56250000</x:v>
      </x:c>
      <x:c r="C5" s="31" t="n">
        <x:f>SUMIF('전체내역'!$B:$B,A5,'전체내역'!$G:$G)</x:f>
        <x:v>19650000</x:v>
      </x:c>
      <x:c r="D5" s="31" t="n">
        <x:f>SUMIF('전체내역'!$B:$B,A5,'전체내역'!$H:$H)</x:f>
        <x:v>36600000</x:v>
      </x:c>
      <x:c r="E5" s="73" t="n">
        <x:f>COUNTIF('전체내역'!$B:$B,A5)</x:f>
        <x:v>12</x:v>
      </x:c>
    </x:row>
    <x:row r="6">
      <x:c r="A6" t="str">
        <x:v>2026년</x:v>
      </x:c>
      <x:c r="B6" s="31" t="n">
        <x:f>SUMIF('전체내역'!$B:$B,A6,'전체내역'!$F:$F)</x:f>
        <x:v>39400000</x:v>
      </x:c>
      <x:c r="C6" s="31" t="n">
        <x:f>SUMIF('전체내역'!$B:$B,A6,'전체내역'!$G:$G)</x:f>
        <x:v>13130000</x:v>
      </x:c>
      <x:c r="D6" s="31" t="n">
        <x:f>SUMIF('전체내역'!$B:$B,A6,'전체내역'!$H:$H)</x:f>
        <x:v>26270000</x:v>
      </x:c>
      <x:c r="E6" s="73" t="n">
        <x:f>COUNTIF('전체내역'!$B:$B,A6)</x:f>
        <x:v>10</x:v>
      </x:c>
    </x:row>
    <x:row r="7">
      <x:c r="A7" s="37" t="str">
        <x:v>총계</x:v>
      </x:c>
      <x:c r="B7" s="38" t="n">
        <x:f>SUM(B2:B6)</x:f>
        <x:v>209450000</x:v>
      </x:c>
      <x:c r="C7" s="38" t="n">
        <x:f>SUM(C2:C6)</x:f>
        <x:v>74045000</x:v>
      </x:c>
      <x:c r="D7" s="38" t="n">
        <x:f>SUM(D2:D6)</x:f>
        <x:v>135405000</x:v>
      </x:c>
      <x:c r="E7" s="76" t="n">
        <x:f>SUM(E2:E6)</x:f>
        <x:v>49</x:v>
      </x:c>
    </x:row>
  </x:sheetData>
  <x:pageMargins left="0.7" right="0.7" top="0.75" bottom="0.75" header="0.3" footer="0.3"/>
  <x:tableParts count="1">
    <x:tablePart xmlns:r="http://schemas.openxmlformats.org/officeDocument/2006/relationships" r:id="R199fa9b39f29440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18" hidden="0" customWidth="1"/>
    <x:col min="4" max="4" width="16" hidden="0" customWidth="1"/>
    <x:col min="5" max="5" width="14" hidden="0" customWidth="1"/>
    <x:col min="6" max="6" width="20" hidden="0" customWidth="1"/>
  </x:cols>
  <x:sheetData>
    <x:row r="1">
      <x:c r="A1" s="81" t="str">
        <x:v>날짜</x:v>
      </x:c>
      <x:c r="B1" s="81" t="str">
        <x:v>연도</x:v>
      </x:c>
      <x:c r="C1" s="81" t="str">
        <x:v>항목</x:v>
      </x:c>
      <x:c r="D1" s="81" t="str">
        <x:v>금액</x:v>
      </x:c>
      <x:c r="E1" s="81" t="str">
        <x:v>수령자</x:v>
      </x:c>
      <x:c r="F1" s="81" t="str">
        <x:v>비고</x:v>
      </x:c>
    </x:row>
    <x:row r="2">
      <x:c r="A2" s="82" t="n">
        <x:v>44916</x:v>
      </x:c>
      <x:c r="B2" s="51" t="str">
        <x:v>2022년</x:v>
      </x:c>
      <x:c r="C2" s="51" t="str">
        <x:v>연말 정리비</x:v>
      </x:c>
      <x:c r="D2" s="52" t="n">
        <x:v>3000000</x:v>
      </x:c>
      <x:c r="E2" s="51" t="str">
        <x:v>박실장</x:v>
      </x:c>
      <x:c r="F2" s="51" t="str">
        <x:v>현금</x:v>
      </x:c>
    </x:row>
    <x:row r="3">
      <x:c r="A3" s="82" t="n">
        <x:v>45107</x:v>
      </x:c>
      <x:c r="B3" s="51" t="str">
        <x:v>2023년</x:v>
      </x:c>
      <x:c r="C3" s="51" t="str">
        <x:v>폐기물 처리 차액</x:v>
      </x:c>
      <x:c r="D3" s="52" t="n">
        <x:v>1500000</x:v>
      </x:c>
      <x:c r="E3" s="51" t="str">
        <x:v>박실장</x:v>
      </x:c>
      <x:c r="F3" s="51" t="str">
        <x:v>현금</x:v>
      </x:c>
    </x:row>
    <x:row r="4">
      <x:c r="A4" s="82" t="n">
        <x:v>45279</x:v>
      </x:c>
      <x:c r="B4" s="51" t="str">
        <x:v>2023년</x:v>
      </x:c>
      <x:c r="C4" s="51" t="str">
        <x:v>협력사 조정비</x:v>
      </x:c>
      <x:c r="D4" s="52" t="n">
        <x:v>2500000</x:v>
      </x:c>
      <x:c r="E4" s="51" t="str">
        <x:v>K자재</x:v>
      </x:c>
      <x:c r="F4" s="51" t="str">
        <x:v>현금</x:v>
      </x:c>
    </x:row>
    <x:row r="5">
      <x:c r="A5" s="82" t="n">
        <x:v>45532</x:v>
      </x:c>
      <x:c r="B5" s="51" t="str">
        <x:v>2024년</x:v>
      </x:c>
      <x:c r="C5" s="51" t="str">
        <x:v>방수재 누락분</x:v>
      </x:c>
      <x:c r="D5" s="52" t="n">
        <x:v>1800000</x:v>
      </x:c>
      <x:c r="E5" s="51" t="str">
        <x:v>박실장</x:v>
      </x:c>
      <x:c r="F5" s="51" t="str">
        <x:v>현금</x:v>
      </x:c>
    </x:row>
    <x:row r="6">
      <x:c r="A6" s="82" t="n">
        <x:v>45650</x:v>
      </x:c>
      <x:c r="B6" s="51" t="str">
        <x:v>2024년</x:v>
      </x:c>
      <x:c r="C6" s="51" t="str">
        <x:v>연말 차액 정리</x:v>
      </x:c>
      <x:c r="D6" s="52" t="n">
        <x:v>4000000</x:v>
      </x:c>
      <x:c r="E6" s="51" t="str">
        <x:v>박실장</x:v>
      </x:c>
      <x:c r="F6" s="51" t="str">
        <x:v>N 확인</x:v>
      </x:c>
    </x:row>
    <x:row r="7">
      <x:c r="A7" s="82" t="n">
        <x:v>45869</x:v>
      </x:c>
      <x:c r="B7" s="51" t="str">
        <x:v>2025년</x:v>
      </x:c>
      <x:c r="C7" s="51" t="str">
        <x:v>케이블 회수분</x:v>
      </x:c>
      <x:c r="D7" s="52" t="n">
        <x:v>2700000</x:v>
      </x:c>
      <x:c r="E7" s="51" t="str">
        <x:v>박실장</x:v>
      </x:c>
      <x:c r="F7" s="51" t="str">
        <x:v>현금</x:v>
      </x:c>
    </x:row>
    <x:row r="8">
      <x:c r="A8" s="82" t="n">
        <x:v>45980</x:v>
      </x:c>
      <x:c r="B8" s="51" t="str">
        <x:v>2025년</x:v>
      </x:c>
      <x:c r="C8" s="51" t="str">
        <x:v>감사 대비 정리비</x:v>
      </x:c>
      <x:c r="D8" s="52" t="n">
        <x:v>3500000</x:v>
      </x:c>
      <x:c r="E8" s="51" t="str">
        <x:v>박실장</x:v>
      </x:c>
      <x:c r="F8" s="51" t="str">
        <x:v>사장 보고 전</x:v>
      </x:c>
    </x:row>
    <x:row r="9">
      <x:c r="A9" s="82" t="n">
        <x:v>46170</x:v>
      </x:c>
      <x:c r="B9" s="51" t="str">
        <x:v>2026년</x:v>
      </x:c>
      <x:c r="C9" s="51" t="str">
        <x:v>협력사 입막음</x:v>
      </x:c>
      <x:c r="D9" s="52" t="n">
        <x:v>1000000</x:v>
      </x:c>
      <x:c r="E9" s="51" t="str">
        <x:v>K자재</x:v>
      </x:c>
      <x:c r="F9" s="51" t="str">
        <x:v>현금</x:v>
      </x:c>
    </x:row>
    <x:row r="10">
      <x:c r="A10" s="82" t="n">
        <x:v>46191</x:v>
      </x:c>
      <x:c r="B10" s="51" t="str">
        <x:v>2026년</x:v>
      </x:c>
      <x:c r="C10" s="51" t="str">
        <x:v>현장 사고 처리</x:v>
      </x:c>
      <x:c r="D10" s="52" t="n">
        <x:v>1200000</x:v>
      </x:c>
      <x:c r="E10" s="51" t="str">
        <x:v>박실장</x:v>
      </x:c>
      <x:c r="F10" s="51" t="str">
        <x:v>김사원 건</x:v>
      </x:c>
    </x:row>
    <x:row r="11">
      <x:c r="A11" s="82" t="n">
        <x:v>46197</x:v>
      </x:c>
      <x:c r="B11" s="51" t="str">
        <x:v>2026년</x:v>
      </x:c>
      <x:c r="C11" s="51" t="str">
        <x:v>원본 보관비</x:v>
      </x:c>
      <x:c r="D11" s="52" t="n">
        <x:v>3000000</x:v>
      </x:c>
      <x:c r="E11" s="51" t="str">
        <x:v>박실장</x:v>
      </x:c>
      <x:c r="F11" s="51" t="str">
        <x:v>B-4 보관</x:v>
      </x:c>
    </x:row>
    <x:row r="12">
      <x:c r="A12" s="51"/>
      <x:c r="B12" s="51"/>
      <x:c r="C12" s="51"/>
      <x:c r="D12" s="51"/>
      <x:c r="E12" s="51"/>
      <x:c r="F12" s="51"/>
    </x:row>
    <x:row r="13">
      <x:c r="A13" s="83" t="str">
        <x:v>별도 현금 정산 합계</x:v>
      </x:c>
      <x:c r="B13" s="83" t="str"/>
      <x:c r="C13" s="83" t="str"/>
      <x:c r="D13" s="84" t="n">
        <x:f>SUM(D2:D11)</x:f>
        <x:v>24200000</x:v>
      </x:c>
      <x:c r="E13" s="51"/>
      <x:c r="F13" s="51"/>
    </x:row>
  </x:sheetData>
  <x:pageMargins left="0.7" right="0.7" top="0.75" bottom="0.75" header="0.3" footer="0.3"/>
  <x:tableParts count="1">
    <x:tablePart xmlns:r="http://schemas.openxmlformats.org/officeDocument/2006/relationships" r:id="Ra10ecc5e22e5439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20" hidden="0" customWidth="1"/>
    <x:col min="4" max="4" width="20" hidden="0" customWidth="1"/>
    <x:col min="5" max="5" width="14" hidden="0" customWidth="1"/>
    <x:col min="6" max="6" width="14" hidden="0" customWidth="1"/>
    <x:col min="7" max="7" width="14" hidden="0" customWidth="1"/>
    <x:col min="8" max="8" width="10" hidden="0" customWidth="1"/>
    <x:col min="9" max="9" width="24" hidden="0" customWidth="1"/>
  </x:cols>
  <x:sheetData>
    <x:row r="1">
      <x:c r="A1" s="81" t="str">
        <x:v>날짜</x:v>
      </x:c>
      <x:c r="B1" s="81" t="str">
        <x:v>항목</x:v>
      </x:c>
      <x:c r="C1" s="81" t="str">
        <x:v>장부상 처리</x:v>
      </x:c>
      <x:c r="D1" s="81" t="str">
        <x:v>실제 처리</x:v>
      </x:c>
      <x:c r="E1" s="81" t="str">
        <x:v>장부상 금액</x:v>
      </x:c>
      <x:c r="F1" s="81" t="str">
        <x:v>실제 금액</x:v>
      </x:c>
      <x:c r="G1" s="81" t="str">
        <x:v>차액</x:v>
      </x:c>
      <x:c r="H1" s="81" t="str">
        <x:v>처리자</x:v>
      </x:c>
      <x:c r="I1" s="81" t="str">
        <x:v>비고</x:v>
      </x:c>
    </x:row>
    <x:row r="2">
      <x:c r="A2" s="82" t="n">
        <x:v>44606</x:v>
      </x:c>
      <x:c r="B2" s="51" t="str">
        <x:v>H빔 잔여분</x:v>
      </x:c>
      <x:c r="C2" s="51" t="str">
        <x:v>폐기 처리</x:v>
      </x:c>
      <x:c r="D2" s="51" t="str">
        <x:v>외부 반출</x:v>
      </x:c>
      <x:c r="E2" s="52" t="n">
        <x:v>6800000</x:v>
      </x:c>
      <x:c r="F2" s="52" t="n">
        <x:v>2400000</x:v>
      </x:c>
      <x:c r="G2" s="52" t="n">
        <x:f>E2-F2</x:f>
        <x:v>4400000</x:v>
      </x:c>
      <x:c r="H2" s="51" t="str">
        <x:v>박</x:v>
      </x:c>
      <x:c r="I2" s="51" t="str">
        <x:v>H운송 야간 출고</x:v>
      </x:c>
    </x:row>
    <x:row r="3">
      <x:c r="A3" s="82" t="n">
        <x:v>44623</x:v>
      </x:c>
      <x:c r="B3" s="51" t="str">
        <x:v>창고 보수비</x:v>
      </x:c>
      <x:c r="C3" s="51" t="str">
        <x:v>바닥 균열 보수</x:v>
      </x:c>
      <x:c r="D3" s="51" t="str">
        <x:v>작업 없음</x:v>
      </x:c>
      <x:c r="E3" s="52" t="n">
        <x:v>3200000</x:v>
      </x:c>
      <x:c r="F3" s="52" t="n">
        <x:v>0</x:v>
      </x:c>
      <x:c r="G3" s="52" t="n">
        <x:f>E3-F3</x:f>
        <x:v>3200000</x:v>
      </x:c>
      <x:c r="H3" s="51" t="str">
        <x:v>박</x:v>
      </x:c>
      <x:c r="I3" s="51" t="str">
        <x:v>K건설 세금계산서</x:v>
      </x:c>
    </x:row>
    <x:row r="4">
      <x:c r="A4" s="82" t="n">
        <x:v>44670</x:v>
      </x:c>
      <x:c r="B4" s="51" t="str">
        <x:v>안전난간 자재</x:v>
      </x:c>
      <x:c r="C4" s="51" t="str">
        <x:v>신규 구매</x:v>
      </x:c>
      <x:c r="D4" s="51" t="str">
        <x:v>일부 미입고</x:v>
      </x:c>
      <x:c r="E4" s="52" t="n">
        <x:v>4500000</x:v>
      </x:c>
      <x:c r="F4" s="52" t="n">
        <x:v>2100000</x:v>
      </x:c>
      <x:c r="G4" s="52" t="n">
        <x:f>E4-F4</x:f>
        <x:v>2400000</x:v>
      </x:c>
      <x:c r="H4" s="51" t="str">
        <x:v>박</x:v>
      </x:c>
      <x:c r="I4" s="51" t="str">
        <x:v>수량표 수정 필요</x:v>
      </x:c>
    </x:row>
    <x:row r="5">
      <x:c r="A5" s="82" t="n">
        <x:v>44720</x:v>
      </x:c>
      <x:c r="B5" s="51" t="str">
        <x:v>폐기물 처리</x:v>
      </x:c>
      <x:c r="C5" s="51" t="str">
        <x:v>폐기 처리 완료</x:v>
      </x:c>
      <x:c r="D5" s="51" t="str">
        <x:v>수량 과다 등록</x:v>
      </x:c>
      <x:c r="E5" s="52" t="n">
        <x:v>2700000</x:v>
      </x:c>
      <x:c r="F5" s="52" t="n">
        <x:v>900000</x:v>
      </x:c>
      <x:c r="G5" s="52" t="n">
        <x:f>E5-F5</x:f>
        <x:v>1800000</x:v>
      </x:c>
      <x:c r="H5" s="51" t="str">
        <x:v>이</x:v>
      </x:c>
      <x:c r="I5" s="51" t="str">
        <x:v>폐기증명서만 보관</x:v>
      </x:c>
    </x:row>
    <x:row r="6">
      <x:c r="A6" s="82" t="n">
        <x:v>44764</x:v>
      </x:c>
      <x:c r="B6" s="51" t="str">
        <x:v>방수재 구매</x:v>
      </x:c>
      <x:c r="C6" s="51" t="str">
        <x:v>우레탄 30통</x:v>
      </x:c>
      <x:c r="D6" s="51" t="str">
        <x:v>실제 18통 입고</x:v>
      </x:c>
      <x:c r="E6" s="52" t="n">
        <x:v>3900000</x:v>
      </x:c>
      <x:c r="F6" s="52" t="n">
        <x:v>2340000</x:v>
      </x:c>
      <x:c r="G6" s="52" t="n">
        <x:f>E6-F6</x:f>
        <x:v>1560000</x:v>
      </x:c>
      <x:c r="H6" s="51" t="str">
        <x:v>박</x:v>
      </x:c>
      <x:c r="I6" s="51" t="str">
        <x:v>B-2 재고 불일치</x:v>
      </x:c>
    </x:row>
    <x:row r="7">
      <x:c r="A7" s="82" t="n">
        <x:v>44819</x:v>
      </x:c>
      <x:c r="B7" s="51" t="str">
        <x:v>전선 케이블</x:v>
      </x:c>
      <x:c r="C7" s="51" t="str">
        <x:v>현장 투입</x:v>
      </x:c>
      <x:c r="D7" s="51" t="str">
        <x:v>일부 외부 매각</x:v>
      </x:c>
      <x:c r="E7" s="52" t="n">
        <x:v>5600000</x:v>
      </x:c>
      <x:c r="F7" s="52" t="n">
        <x:v>3100000</x:v>
      </x:c>
      <x:c r="G7" s="52" t="n">
        <x:f>E7-F7</x:f>
        <x:v>2500000</x:v>
      </x:c>
      <x:c r="H7" s="51" t="str">
        <x:v>박</x:v>
      </x:c>
      <x:c r="I7" s="51" t="str">
        <x:v>동선 회수 완료</x:v>
      </x:c>
    </x:row>
    <x:row r="8">
      <x:c r="A8" s="82" t="n">
        <x:v>44861</x:v>
      </x:c>
      <x:c r="B8" s="51" t="str">
        <x:v>야간 운송비</x:v>
      </x:c>
      <x:c r="C8" s="51" t="str">
        <x:v>긴급 운송</x:v>
      </x:c>
      <x:c r="D8" s="51" t="str">
        <x:v>실제 운송 없음</x:v>
      </x:c>
      <x:c r="E8" s="52" t="n">
        <x:v>1800000</x:v>
      </x:c>
      <x:c r="F8" s="52" t="n">
        <x:v>0</x:v>
      </x:c>
      <x:c r="G8" s="52" t="n">
        <x:f>E8-F8</x:f>
        <x:v>1800000</x:v>
      </x:c>
      <x:c r="H8" s="51" t="str">
        <x:v>이</x:v>
      </x:c>
      <x:c r="I8" s="51" t="str">
        <x:v>H운송 명의</x:v>
      </x:c>
    </x:row>
    <x:row r="9">
      <x:c r="A9" s="82" t="n">
        <x:v>44915</x:v>
      </x:c>
      <x:c r="B9" s="51" t="str">
        <x:v>연말 창고 정리비</x:v>
      </x:c>
      <x:c r="C9" s="51" t="str">
        <x:v>정리 작업</x:v>
      </x:c>
      <x:c r="D9" s="51" t="str">
        <x:v>서류 처리</x:v>
      </x:c>
      <x:c r="E9" s="52" t="n">
        <x:v>4000000</x:v>
      </x:c>
      <x:c r="F9" s="52" t="n">
        <x:v>600000</x:v>
      </x:c>
      <x:c r="G9" s="52" t="n">
        <x:f>E9-F9</x:f>
        <x:v>3400000</x:v>
      </x:c>
      <x:c r="H9" s="51" t="str">
        <x:v>박</x:v>
      </x:c>
      <x:c r="I9" s="51" t="str">
        <x:v>현금 정산</x:v>
      </x:c>
    </x:row>
    <x:row r="10">
      <x:c r="A10" s="51"/>
      <x:c r="B10" s="51"/>
      <x:c r="C10" s="51"/>
      <x:c r="D10" s="51"/>
      <x:c r="E10" s="51"/>
      <x:c r="F10" s="51"/>
      <x:c r="G10" s="51"/>
      <x:c r="H10" s="51"/>
      <x:c r="I10" s="51"/>
    </x:row>
    <x:row r="11">
      <x:c r="A11" s="83" t="str">
        <x:v>2022년 차액 합계</x:v>
      </x:c>
      <x:c r="B11" s="83" t="str"/>
      <x:c r="C11" s="83" t="str"/>
      <x:c r="D11" s="83" t="str"/>
      <x:c r="E11" s="83" t="str"/>
      <x:c r="F11" s="83" t="str"/>
      <x:c r="G11" s="84" t="n">
        <x:f>SUM(G2:G9)</x:f>
        <x:v>21060000</x:v>
      </x:c>
      <x:c r="H11" s="51"/>
      <x:c r="I11" s="51"/>
    </x:row>
  </x:sheetData>
  <x:pageMargins left="0.7" right="0.7" top="0.75" bottom="0.75" header="0.3" footer="0.3"/>
  <x:tableParts count="1">
    <x:tablePart xmlns:r="http://schemas.openxmlformats.org/officeDocument/2006/relationships" r:id="R33cff8ba3e98440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20" hidden="0" customWidth="1"/>
    <x:col min="4" max="4" width="20" hidden="0" customWidth="1"/>
    <x:col min="5" max="5" width="14" hidden="0" customWidth="1"/>
    <x:col min="6" max="6" width="14" hidden="0" customWidth="1"/>
    <x:col min="7" max="7" width="14" hidden="0" customWidth="1"/>
    <x:col min="8" max="8" width="10" hidden="0" customWidth="1"/>
    <x:col min="9" max="9" width="24" hidden="0" customWidth="1"/>
  </x:cols>
  <x:sheetData>
    <x:row r="1">
      <x:c r="A1" s="81" t="str">
        <x:v>날짜</x:v>
      </x:c>
      <x:c r="B1" s="81" t="str">
        <x:v>항목</x:v>
      </x:c>
      <x:c r="C1" s="81" t="str">
        <x:v>장부상 처리</x:v>
      </x:c>
      <x:c r="D1" s="81" t="str">
        <x:v>실제 처리</x:v>
      </x:c>
      <x:c r="E1" s="81" t="str">
        <x:v>장부상 금액</x:v>
      </x:c>
      <x:c r="F1" s="81" t="str">
        <x:v>실제 금액</x:v>
      </x:c>
      <x:c r="G1" s="81" t="str">
        <x:v>차액</x:v>
      </x:c>
      <x:c r="H1" s="81" t="str">
        <x:v>처리자</x:v>
      </x:c>
      <x:c r="I1" s="81" t="str">
        <x:v>비고</x:v>
      </x:c>
    </x:row>
    <x:row r="2">
      <x:c r="A2" s="82" t="n">
        <x:v>44944</x:v>
      </x:c>
      <x:c r="B2" s="51" t="str">
        <x:v>철근 잔여분</x:v>
      </x:c>
      <x:c r="C2" s="51" t="str">
        <x:v>폐기 처리</x:v>
      </x:c>
      <x:c r="D2" s="51" t="str">
        <x:v>외부 반출</x:v>
      </x:c>
      <x:c r="E2" s="52" t="n">
        <x:v>7200000</x:v>
      </x:c>
      <x:c r="F2" s="52" t="n">
        <x:v>2800000</x:v>
      </x:c>
      <x:c r="G2" s="52" t="n">
        <x:f>E2-F2</x:f>
        <x:v>4400000</x:v>
      </x:c>
      <x:c r="H2" s="51" t="str">
        <x:v>박</x:v>
      </x:c>
      <x:c r="I2" s="51" t="str">
        <x:v>B철강 회수</x:v>
      </x:c>
    </x:row>
    <x:row r="3">
      <x:c r="A3" s="82" t="n">
        <x:v>44983</x:v>
      </x:c>
      <x:c r="B3" s="51" t="str">
        <x:v>자재 보관료</x:v>
      </x:c>
      <x:c r="C3" s="51" t="str">
        <x:v>장기 보관</x:v>
      </x:c>
      <x:c r="D3" s="51" t="str">
        <x:v>실제 보관 없음</x:v>
      </x:c>
      <x:c r="E3" s="52" t="n">
        <x:v>2400000</x:v>
      </x:c>
      <x:c r="F3" s="52" t="n">
        <x:v>0</x:v>
      </x:c>
      <x:c r="G3" s="52" t="n">
        <x:f>E3-F3</x:f>
        <x:v>2400000</x:v>
      </x:c>
      <x:c r="H3" s="51" t="str">
        <x:v>박</x:v>
      </x:c>
      <x:c r="I3" s="51" t="str">
        <x:v>협력사 명의</x:v>
      </x:c>
    </x:row>
    <x:row r="4">
      <x:c r="A4" s="82" t="n">
        <x:v>45021</x:v>
      </x:c>
      <x:c r="B4" s="51" t="str">
        <x:v>창고 조명 교체</x:v>
      </x:c>
      <x:c r="C4" s="51" t="str">
        <x:v>전면 교체</x:v>
      </x:c>
      <x:c r="D4" s="51" t="str">
        <x:v>일부 교체</x:v>
      </x:c>
      <x:c r="E4" s="52" t="n">
        <x:v>3600000</x:v>
      </x:c>
      <x:c r="F4" s="52" t="n">
        <x:v>1250000</x:v>
      </x:c>
      <x:c r="G4" s="52" t="n">
        <x:f>E4-F4</x:f>
        <x:v>2350000</x:v>
      </x:c>
      <x:c r="H4" s="51" t="str">
        <x:v>이</x:v>
      </x:c>
      <x:c r="I4" s="51" t="str">
        <x:v>사진 자료 재사용</x:v>
      </x:c>
    </x:row>
    <x:row r="5">
      <x:c r="A5" s="82" t="n">
        <x:v>45063</x:v>
      </x:c>
      <x:c r="B5" s="51" t="str">
        <x:v>안전발판 구매</x:v>
      </x:c>
      <x:c r="C5" s="51" t="str">
        <x:v>40개 구매</x:v>
      </x:c>
      <x:c r="D5" s="51" t="str">
        <x:v>22개 입고</x:v>
      </x:c>
      <x:c r="E5" s="52" t="n">
        <x:v>4800000</x:v>
      </x:c>
      <x:c r="F5" s="52" t="n">
        <x:v>2640000</x:v>
      </x:c>
      <x:c r="G5" s="52" t="n">
        <x:f>E5-F5</x:f>
        <x:v>2160000</x:v>
      </x:c>
      <x:c r="H5" s="51" t="str">
        <x:v>박</x:v>
      </x:c>
      <x:c r="I5" s="51" t="str">
        <x:v>입고표 수정</x:v>
      </x:c>
    </x:row>
    <x:row r="6">
      <x:c r="A6" s="82" t="n">
        <x:v>45107</x:v>
      </x:c>
      <x:c r="B6" s="51" t="str">
        <x:v>폐기물 처리비</x:v>
      </x:c>
      <x:c r="C6" s="51" t="str">
        <x:v>혼합 폐기물</x:v>
      </x:c>
      <x:c r="D6" s="51" t="str">
        <x:v>일반 폐기물</x:v>
      </x:c>
      <x:c r="E6" s="52" t="n">
        <x:v>3300000</x:v>
      </x:c>
      <x:c r="F6" s="52" t="n">
        <x:v>1100000</x:v>
      </x:c>
      <x:c r="G6" s="52" t="n">
        <x:f>E6-F6</x:f>
        <x:v>2200000</x:v>
      </x:c>
      <x:c r="H6" s="51" t="str">
        <x:v>박</x:v>
      </x:c>
      <x:c r="I6" s="51" t="str">
        <x:v>처리등급 변경</x:v>
      </x:c>
    </x:row>
    <x:row r="7">
      <x:c r="A7" s="82" t="n">
        <x:v>45149</x:v>
      </x:c>
      <x:c r="B7" s="51" t="str">
        <x:v>임시 가설재</x:v>
      </x:c>
      <x:c r="C7" s="51" t="str">
        <x:v>신규 구매</x:v>
      </x:c>
      <x:c r="D7" s="51" t="str">
        <x:v>기존 자재 재사용</x:v>
      </x:c>
      <x:c r="E7" s="52" t="n">
        <x:v>5100000</x:v>
      </x:c>
      <x:c r="F7" s="52" t="n">
        <x:v>700000</x:v>
      </x:c>
      <x:c r="G7" s="52" t="n">
        <x:f>E7-F7</x:f>
        <x:v>4400000</x:v>
      </x:c>
      <x:c r="H7" s="51" t="str">
        <x:v>박</x:v>
      </x:c>
      <x:c r="I7" s="51" t="str">
        <x:v>현장 확인 금지</x:v>
      </x:c>
    </x:row>
    <x:row r="8">
      <x:c r="A8" s="82" t="n">
        <x:v>45193</x:v>
      </x:c>
      <x:c r="B8" s="51" t="str">
        <x:v>운반 장비 대여</x:v>
      </x:c>
      <x:c r="C8" s="51" t="str">
        <x:v>지게차 3일</x:v>
      </x:c>
      <x:c r="D8" s="51" t="str">
        <x:v>1일 사용</x:v>
      </x:c>
      <x:c r="E8" s="52" t="n">
        <x:v>2700000</x:v>
      </x:c>
      <x:c r="F8" s="52" t="n">
        <x:v>900000</x:v>
      </x:c>
      <x:c r="G8" s="52" t="n">
        <x:f>E8-F8</x:f>
        <x:v>1800000</x:v>
      </x:c>
      <x:c r="H8" s="51" t="str">
        <x:v>이</x:v>
      </x:c>
      <x:c r="I8" s="51" t="str">
        <x:v>대여확인서 보관</x:v>
      </x:c>
    </x:row>
    <x:row r="9">
      <x:c r="A9" s="82" t="n">
        <x:v>45239</x:v>
      </x:c>
      <x:c r="B9" s="51" t="str">
        <x:v>방수재 추가분</x:v>
      </x:c>
      <x:c r="C9" s="51" t="str">
        <x:v>25통 구매</x:v>
      </x:c>
      <x:c r="D9" s="51" t="str">
        <x:v>14통 입고</x:v>
      </x:c>
      <x:c r="E9" s="52" t="n">
        <x:v>3250000</x:v>
      </x:c>
      <x:c r="F9" s="52" t="n">
        <x:v>1820000</x:v>
      </x:c>
      <x:c r="G9" s="52" t="n">
        <x:f>E9-F9</x:f>
        <x:v>1430000</x:v>
      </x:c>
      <x:c r="H9" s="51" t="str">
        <x:v>박</x:v>
      </x:c>
      <x:c r="I9" s="51" t="str">
        <x:v>B-4 임시 보관</x:v>
      </x:c>
    </x:row>
    <x:row r="10">
      <x:c r="A10" s="82" t="n">
        <x:v>45278</x:v>
      </x:c>
      <x:c r="B10" s="51" t="str">
        <x:v>긴급 정리비</x:v>
      </x:c>
      <x:c r="C10" s="51" t="str">
        <x:v>현장 정리</x:v>
      </x:c>
      <x:c r="D10" s="51" t="str">
        <x:v>작업 없음</x:v>
      </x:c>
      <x:c r="E10" s="52" t="n">
        <x:v>4600000</x:v>
      </x:c>
      <x:c r="F10" s="52" t="n">
        <x:v>0</x:v>
      </x:c>
      <x:c r="G10" s="52" t="n">
        <x:f>E10-F10</x:f>
        <x:v>4600000</x:v>
      </x:c>
      <x:c r="H10" s="51" t="str">
        <x:v>박</x:v>
      </x:c>
      <x:c r="I10" s="51" t="str">
        <x:v>연말 비용 처리</x:v>
      </x:c>
    </x:row>
    <x:row r="11">
      <x:c r="A11" s="51"/>
      <x:c r="B11" s="51"/>
      <x:c r="C11" s="51"/>
      <x:c r="D11" s="51"/>
      <x:c r="E11" s="51"/>
      <x:c r="F11" s="51"/>
      <x:c r="G11" s="51"/>
      <x:c r="H11" s="51"/>
      <x:c r="I11" s="51"/>
    </x:row>
    <x:row r="12">
      <x:c r="A12" s="83" t="str">
        <x:v>2023년 차액 합계</x:v>
      </x:c>
      <x:c r="B12" s="83" t="str"/>
      <x:c r="C12" s="83" t="str"/>
      <x:c r="D12" s="83" t="str"/>
      <x:c r="E12" s="83" t="str"/>
      <x:c r="F12" s="83" t="str"/>
      <x:c r="G12" s="84" t="n">
        <x:f>SUM(G2:G10)</x:f>
        <x:v>25740000</x:v>
      </x:c>
      <x:c r="H12" s="51"/>
      <x:c r="I12" s="51"/>
    </x:row>
  </x:sheetData>
  <x:pageMargins left="0.7" right="0.7" top="0.75" bottom="0.75" header="0.3" footer="0.3"/>
  <x:tableParts count="1">
    <x:tablePart xmlns:r="http://schemas.openxmlformats.org/officeDocument/2006/relationships" r:id="R4d83eca85bc74c7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20" hidden="0" customWidth="1"/>
    <x:col min="4" max="4" width="20" hidden="0" customWidth="1"/>
    <x:col min="5" max="5" width="14" hidden="0" customWidth="1"/>
    <x:col min="6" max="6" width="14" hidden="0" customWidth="1"/>
    <x:col min="7" max="7" width="14" hidden="0" customWidth="1"/>
    <x:col min="8" max="8" width="10" hidden="0" customWidth="1"/>
    <x:col min="9" max="9" width="24" hidden="0" customWidth="1"/>
  </x:cols>
  <x:sheetData>
    <x:row r="1">
      <x:c r="A1" s="81" t="str">
        <x:v>날짜</x:v>
      </x:c>
      <x:c r="B1" s="81" t="str">
        <x:v>항목</x:v>
      </x:c>
      <x:c r="C1" s="81" t="str">
        <x:v>장부상 처리</x:v>
      </x:c>
      <x:c r="D1" s="81" t="str">
        <x:v>실제 처리</x:v>
      </x:c>
      <x:c r="E1" s="81" t="str">
        <x:v>장부상 금액</x:v>
      </x:c>
      <x:c r="F1" s="81" t="str">
        <x:v>실제 금액</x:v>
      </x:c>
      <x:c r="G1" s="81" t="str">
        <x:v>차액</x:v>
      </x:c>
      <x:c r="H1" s="81" t="str">
        <x:v>처리자</x:v>
      </x:c>
      <x:c r="I1" s="81" t="str">
        <x:v>비고</x:v>
      </x:c>
    </x:row>
    <x:row r="2">
      <x:c r="A2" s="82" t="n">
        <x:v>45303</x:v>
      </x:c>
      <x:c r="B2" s="51" t="str">
        <x:v>H빔 보강재</x:v>
      </x:c>
      <x:c r="C2" s="51" t="str">
        <x:v>현장 투입</x:v>
      </x:c>
      <x:c r="D2" s="51" t="str">
        <x:v>8본 외부 반출</x:v>
      </x:c>
      <x:c r="E2" s="52" t="n">
        <x:v>9600000</x:v>
      </x:c>
      <x:c r="F2" s="52" t="n">
        <x:v>4000000</x:v>
      </x:c>
      <x:c r="G2" s="52" t="n">
        <x:f>E2-F2</x:f>
        <x:v>5600000</x:v>
      </x:c>
      <x:c r="H2" s="51" t="str">
        <x:v>박</x:v>
      </x:c>
      <x:c r="I2" s="51" t="str">
        <x:v>야간 출고</x:v>
      </x:c>
    </x:row>
    <x:row r="3">
      <x:c r="A3" s="82" t="n">
        <x:v>45343</x:v>
      </x:c>
      <x:c r="B3" s="51" t="str">
        <x:v>창고 셔터 수리</x:v>
      </x:c>
      <x:c r="C3" s="51" t="str">
        <x:v>부품 교체</x:v>
      </x:c>
      <x:c r="D3" s="51" t="str">
        <x:v>수리 없음</x:v>
      </x:c>
      <x:c r="E3" s="52" t="n">
        <x:v>2900000</x:v>
      </x:c>
      <x:c r="F3" s="52" t="n">
        <x:v>0</x:v>
      </x:c>
      <x:c r="G3" s="52" t="n">
        <x:f>E3-F3</x:f>
        <x:v>2900000</x:v>
      </x:c>
      <x:c r="H3" s="51" t="str">
        <x:v>이</x:v>
      </x:c>
      <x:c r="I3" s="51" t="str">
        <x:v>견적서만 보관</x:v>
      </x:c>
    </x:row>
    <x:row r="4">
      <x:c r="A4" s="82" t="n">
        <x:v>45366</x:v>
      </x:c>
      <x:c r="B4" s="51" t="str">
        <x:v>안전망 구매</x:v>
      </x:c>
      <x:c r="C4" s="51" t="str">
        <x:v>50롤 구매</x:v>
      </x:c>
      <x:c r="D4" s="51" t="str">
        <x:v>31롤 입고</x:v>
      </x:c>
      <x:c r="E4" s="52" t="n">
        <x:v>4750000</x:v>
      </x:c>
      <x:c r="F4" s="52" t="n">
        <x:v>2945000</x:v>
      </x:c>
      <x:c r="G4" s="52" t="n">
        <x:f>E4-F4</x:f>
        <x:v>1805000</x:v>
      </x:c>
      <x:c r="H4" s="51" t="str">
        <x:v>박</x:v>
      </x:c>
      <x:c r="I4" s="51" t="str">
        <x:v>입고 수량 조정</x:v>
      </x:c>
    </x:row>
    <x:row r="5">
      <x:c r="A5" s="82" t="n">
        <x:v>45410</x:v>
      </x:c>
      <x:c r="B5" s="51" t="str">
        <x:v>폐목재 처리</x:v>
      </x:c>
      <x:c r="C5" s="51" t="str">
        <x:v>폐기 처리</x:v>
      </x:c>
      <x:c r="D5" s="51" t="str">
        <x:v>일부 재판매</x:v>
      </x:c>
      <x:c r="E5" s="52" t="n">
        <x:v>2200000</x:v>
      </x:c>
      <x:c r="F5" s="52" t="n">
        <x:v>600000</x:v>
      </x:c>
      <x:c r="G5" s="52" t="n">
        <x:f>E5-F5</x:f>
        <x:v>1600000</x:v>
      </x:c>
      <x:c r="H5" s="51" t="str">
        <x:v>박</x:v>
      </x:c>
      <x:c r="I5" s="51" t="str">
        <x:v>처리업체 현금</x:v>
      </x:c>
    </x:row>
    <x:row r="6">
      <x:c r="A6" s="82" t="n">
        <x:v>45446</x:v>
      </x:c>
      <x:c r="B6" s="51" t="str">
        <x:v>전기 배선 보강</x:v>
      </x:c>
      <x:c r="C6" s="51" t="str">
        <x:v>케이블 전량 투입</x:v>
      </x:c>
      <x:c r="D6" s="51" t="str">
        <x:v>일부 미투입</x:v>
      </x:c>
      <x:c r="E6" s="52" t="n">
        <x:v>6300000</x:v>
      </x:c>
      <x:c r="F6" s="52" t="n">
        <x:v>3900000</x:v>
      </x:c>
      <x:c r="G6" s="52" t="n">
        <x:f>E6-F6</x:f>
        <x:v>2400000</x:v>
      </x:c>
      <x:c r="H6" s="51" t="str">
        <x:v>박</x:v>
      </x:c>
      <x:c r="I6" s="51" t="str">
        <x:v>동선 별도 회수</x:v>
      </x:c>
    </x:row>
    <x:row r="7">
      <x:c r="A7" s="82" t="n">
        <x:v>45492</x:v>
      </x:c>
      <x:c r="B7" s="51" t="str">
        <x:v>장비 운송비</x:v>
      </x:c>
      <x:c r="C7" s="51" t="str">
        <x:v>2회 운송</x:v>
      </x:c>
      <x:c r="D7" s="51" t="str">
        <x:v>1회 운송</x:v>
      </x:c>
      <x:c r="E7" s="52" t="n">
        <x:v>2400000</x:v>
      </x:c>
      <x:c r="F7" s="52" t="n">
        <x:v>1200000</x:v>
      </x:c>
      <x:c r="G7" s="52" t="n">
        <x:f>E7-F7</x:f>
        <x:v>1200000</x:v>
      </x:c>
      <x:c r="H7" s="51" t="str">
        <x:v>이</x:v>
      </x:c>
      <x:c r="I7" s="51" t="str">
        <x:v>H운송 처리</x:v>
      </x:c>
    </x:row>
    <x:row r="8">
      <x:c r="A8" s="82" t="n">
        <x:v>45531</x:v>
      </x:c>
      <x:c r="B8" s="51" t="str">
        <x:v>방수재 긴급 구매</x:v>
      </x:c>
      <x:c r="C8" s="51" t="str">
        <x:v>40통 구매</x:v>
      </x:c>
      <x:c r="D8" s="51" t="str">
        <x:v>25통 입고</x:v>
      </x:c>
      <x:c r="E8" s="52" t="n">
        <x:v>5200000</x:v>
      </x:c>
      <x:c r="F8" s="52" t="n">
        <x:v>3250000</x:v>
      </x:c>
      <x:c r="G8" s="52" t="n">
        <x:f>E8-F8</x:f>
        <x:v>1950000</x:v>
      </x:c>
      <x:c r="H8" s="51" t="str">
        <x:v>박</x:v>
      </x:c>
      <x:c r="I8" s="51" t="str">
        <x:v>감사 자료 제외</x:v>
      </x:c>
    </x:row>
    <x:row r="9">
      <x:c r="A9" s="82" t="n">
        <x:v>45567</x:v>
      </x:c>
      <x:c r="B9" s="51" t="str">
        <x:v>창고 환기설비</x:v>
      </x:c>
      <x:c r="C9" s="51" t="str">
        <x:v>필터 교체</x:v>
      </x:c>
      <x:c r="D9" s="51" t="str">
        <x:v>교체 없음</x:v>
      </x:c>
      <x:c r="E9" s="52" t="n">
        <x:v>1900000</x:v>
      </x:c>
      <x:c r="F9" s="52" t="n">
        <x:v>0</x:v>
      </x:c>
      <x:c r="G9" s="52" t="n">
        <x:f>E9-F9</x:f>
        <x:v>1900000</x:v>
      </x:c>
      <x:c r="H9" s="51" t="str">
        <x:v>이</x:v>
      </x:c>
      <x:c r="I9" s="51" t="str">
        <x:v>사진 재사용</x:v>
      </x:c>
    </x:row>
    <x:row r="10">
      <x:c r="A10" s="82" t="n">
        <x:v>45610</x:v>
      </x:c>
      <x:c r="B10" s="51" t="str">
        <x:v>안전장비 추가분</x:v>
      </x:c>
      <x:c r="C10" s="51" t="str">
        <x:v>안전벨트 30개</x:v>
      </x:c>
      <x:c r="D10" s="51" t="str">
        <x:v>16개 입고</x:v>
      </x:c>
      <x:c r="E10" s="52" t="n">
        <x:v>3600000</x:v>
      </x:c>
      <x:c r="F10" s="52" t="n">
        <x:v>1920000</x:v>
      </x:c>
      <x:c r="G10" s="52" t="n">
        <x:f>E10-F10</x:f>
        <x:v>1680000</x:v>
      </x:c>
      <x:c r="H10" s="51" t="str">
        <x:v>박</x:v>
      </x:c>
      <x:c r="I10" s="51" t="str">
        <x:v>재고표 수정</x:v>
      </x:c>
    </x:row>
    <x:row r="11">
      <x:c r="A11" s="82" t="n">
        <x:v>45649</x:v>
      </x:c>
      <x:c r="B11" s="51" t="str">
        <x:v>연말 폐기 정리</x:v>
      </x:c>
      <x:c r="C11" s="51" t="str">
        <x:v>폐기 처리</x:v>
      </x:c>
      <x:c r="D11" s="51" t="str">
        <x:v>서류 처리</x:v>
      </x:c>
      <x:c r="E11" s="52" t="n">
        <x:v>5500000</x:v>
      </x:c>
      <x:c r="F11" s="52" t="n">
        <x:v>800000</x:v>
      </x:c>
      <x:c r="G11" s="52" t="n">
        <x:f>E11-F11</x:f>
        <x:v>4700000</x:v>
      </x:c>
      <x:c r="H11" s="51" t="str">
        <x:v>박</x:v>
      </x:c>
      <x:c r="I11" s="51" t="str">
        <x:v>N 확인</x:v>
      </x:c>
    </x:row>
    <x:row r="12">
      <x:c r="A12" s="51"/>
      <x:c r="B12" s="51"/>
      <x:c r="C12" s="51"/>
      <x:c r="D12" s="51"/>
      <x:c r="E12" s="51"/>
      <x:c r="F12" s="51"/>
      <x:c r="G12" s="51"/>
      <x:c r="H12" s="51"/>
      <x:c r="I12" s="51"/>
    </x:row>
    <x:row r="13">
      <x:c r="A13" s="83" t="str">
        <x:v>2024년 차액 합계</x:v>
      </x:c>
      <x:c r="B13" s="83" t="str"/>
      <x:c r="C13" s="83" t="str"/>
      <x:c r="D13" s="83" t="str"/>
      <x:c r="E13" s="83" t="str"/>
      <x:c r="F13" s="83" t="str"/>
      <x:c r="G13" s="84" t="n">
        <x:f>SUM(G2:G11)</x:f>
        <x:v>25735000</x:v>
      </x:c>
      <x:c r="H13" s="51"/>
      <x:c r="I13" s="51"/>
    </x:row>
  </x:sheetData>
  <x:pageMargins left="0.7" right="0.7" top="0.75" bottom="0.75" header="0.3" footer="0.3"/>
  <x:tableParts count="1">
    <x:tablePart xmlns:r="http://schemas.openxmlformats.org/officeDocument/2006/relationships" r:id="R7268c982ba714944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20" hidden="0" customWidth="1"/>
    <x:col min="4" max="4" width="20" hidden="0" customWidth="1"/>
    <x:col min="5" max="5" width="14" hidden="0" customWidth="1"/>
    <x:col min="6" max="6" width="14" hidden="0" customWidth="1"/>
    <x:col min="7" max="7" width="14" hidden="0" customWidth="1"/>
    <x:col min="8" max="8" width="10" hidden="0" customWidth="1"/>
    <x:col min="9" max="9" width="24" hidden="0" customWidth="1"/>
  </x:cols>
  <x:sheetData>
    <x:row r="1">
      <x:c r="A1" s="81" t="str">
        <x:v>날짜</x:v>
      </x:c>
      <x:c r="B1" s="81" t="str">
        <x:v>항목</x:v>
      </x:c>
      <x:c r="C1" s="81" t="str">
        <x:v>장부상 처리</x:v>
      </x:c>
      <x:c r="D1" s="81" t="str">
        <x:v>실제 처리</x:v>
      </x:c>
      <x:c r="E1" s="81" t="str">
        <x:v>장부상 금액</x:v>
      </x:c>
      <x:c r="F1" s="81" t="str">
        <x:v>실제 금액</x:v>
      </x:c>
      <x:c r="G1" s="81" t="str">
        <x:v>차액</x:v>
      </x:c>
      <x:c r="H1" s="81" t="str">
        <x:v>처리자</x:v>
      </x:c>
      <x:c r="I1" s="81" t="str">
        <x:v>비고</x:v>
      </x:c>
    </x:row>
    <x:row r="2">
      <x:c r="A2" s="82" t="n">
        <x:v>45673</x:v>
      </x:c>
      <x:c r="B2" s="51" t="str">
        <x:v>철근 잔여분</x:v>
      </x:c>
      <x:c r="C2" s="51" t="str">
        <x:v>폐기 처리</x:v>
      </x:c>
      <x:c r="D2" s="51" t="str">
        <x:v>외부 반출</x:v>
      </x:c>
      <x:c r="E2" s="52" t="n">
        <x:v>8400000</x:v>
      </x:c>
      <x:c r="F2" s="52" t="n">
        <x:v>3600000</x:v>
      </x:c>
      <x:c r="G2" s="52" t="n">
        <x:f>E2-F2</x:f>
        <x:v>4800000</x:v>
      </x:c>
      <x:c r="H2" s="51" t="str">
        <x:v>박</x:v>
      </x:c>
      <x:c r="I2" s="51" t="str">
        <x:v>B철강 회수</x:v>
      </x:c>
    </x:row>
    <x:row r="3">
      <x:c r="A3" s="82" t="n">
        <x:v>45695</x:v>
      </x:c>
      <x:c r="B3" s="51" t="str">
        <x:v>창고 보수비</x:v>
      </x:c>
      <x:c r="C3" s="51" t="str">
        <x:v>벽체 보수</x:v>
      </x:c>
      <x:c r="D3" s="51" t="str">
        <x:v>작업 없음</x:v>
      </x:c>
      <x:c r="E3" s="52" t="n">
        <x:v>3500000</x:v>
      </x:c>
      <x:c r="F3" s="52" t="n">
        <x:v>0</x:v>
      </x:c>
      <x:c r="G3" s="52" t="n">
        <x:f>E3-F3</x:f>
        <x:v>3500000</x:v>
      </x:c>
      <x:c r="H3" s="51" t="str">
        <x:v>이</x:v>
      </x:c>
      <x:c r="I3" s="51" t="str">
        <x:v>K건설 세금계산서</x:v>
      </x:c>
    </x:row>
    <x:row r="4">
      <x:c r="A4" s="82" t="n">
        <x:v>45734</x:v>
      </x:c>
      <x:c r="B4" s="51" t="str">
        <x:v>안전난간 교체</x:v>
      </x:c>
      <x:c r="C4" s="51" t="str">
        <x:v>전량 교체</x:v>
      </x:c>
      <x:c r="D4" s="51" t="str">
        <x:v>일부만 교체</x:v>
      </x:c>
      <x:c r="E4" s="52" t="n">
        <x:v>4900000</x:v>
      </x:c>
      <x:c r="F4" s="52" t="n">
        <x:v>2450000</x:v>
      </x:c>
      <x:c r="G4" s="52" t="n">
        <x:f>E4-F4</x:f>
        <x:v>2450000</x:v>
      </x:c>
      <x:c r="H4" s="51" t="str">
        <x:v>박</x:v>
      </x:c>
      <x:c r="I4" s="51" t="str">
        <x:v>사진 자료 편집</x:v>
      </x:c>
    </x:row>
    <x:row r="5">
      <x:c r="A5" s="82" t="n">
        <x:v>45769</x:v>
      </x:c>
      <x:c r="B5" s="51" t="str">
        <x:v>폐기물 처리비</x:v>
      </x:c>
      <x:c r="C5" s="51" t="str">
        <x:v>혼합 폐기물</x:v>
      </x:c>
      <x:c r="D5" s="51" t="str">
        <x:v>일반 폐기물</x:v>
      </x:c>
      <x:c r="E5" s="52" t="n">
        <x:v>3800000</x:v>
      </x:c>
      <x:c r="F5" s="52" t="n">
        <x:v>1300000</x:v>
      </x:c>
      <x:c r="G5" s="52" t="n">
        <x:f>E5-F5</x:f>
        <x:v>2500000</x:v>
      </x:c>
      <x:c r="H5" s="51" t="str">
        <x:v>박</x:v>
      </x:c>
      <x:c r="I5" s="51" t="str">
        <x:v>등급 변경</x:v>
      </x:c>
    </x:row>
    <x:row r="6">
      <x:c r="A6" s="82" t="n">
        <x:v>45786</x:v>
      </x:c>
      <x:c r="B6" s="51" t="str">
        <x:v>방수재 구매</x:v>
      </x:c>
      <x:c r="C6" s="51" t="str">
        <x:v>45통 구매</x:v>
      </x:c>
      <x:c r="D6" s="51" t="str">
        <x:v>28통 입고</x:v>
      </x:c>
      <x:c r="E6" s="52" t="n">
        <x:v>5850000</x:v>
      </x:c>
      <x:c r="F6" s="52" t="n">
        <x:v>3640000</x:v>
      </x:c>
      <x:c r="G6" s="52" t="n">
        <x:f>E6-F6</x:f>
        <x:v>2210000</x:v>
      </x:c>
      <x:c r="H6" s="51" t="str">
        <x:v>박</x:v>
      </x:c>
      <x:c r="I6" s="51" t="str">
        <x:v>B-4 보관 처리</x:v>
      </x:c>
    </x:row>
    <x:row r="7">
      <x:c r="A7" s="82" t="n">
        <x:v>45822</x:v>
      </x:c>
      <x:c r="B7" s="51" t="str">
        <x:v>지게차 대여</x:v>
      </x:c>
      <x:c r="C7" s="51" t="str">
        <x:v>4일 대여</x:v>
      </x:c>
      <x:c r="D7" s="51" t="str">
        <x:v>1일 사용</x:v>
      </x:c>
      <x:c r="E7" s="52" t="n">
        <x:v>3600000</x:v>
      </x:c>
      <x:c r="F7" s="52" t="n">
        <x:v>900000</x:v>
      </x:c>
      <x:c r="G7" s="52" t="n">
        <x:f>E7-F7</x:f>
        <x:v>2700000</x:v>
      </x:c>
      <x:c r="H7" s="51" t="str">
        <x:v>이</x:v>
      </x:c>
      <x:c r="I7" s="51" t="str">
        <x:v>대여확인서 보관</x:v>
      </x:c>
    </x:row>
    <x:row r="8">
      <x:c r="A8" s="82" t="n">
        <x:v>45868</x:v>
      </x:c>
      <x:c r="B8" s="51" t="str">
        <x:v>전기 케이블</x:v>
      </x:c>
      <x:c r="C8" s="51" t="str">
        <x:v>현장 투입</x:v>
      </x:c>
      <x:c r="D8" s="51" t="str">
        <x:v>일부 외부 매각</x:v>
      </x:c>
      <x:c r="E8" s="52" t="n">
        <x:v>7200000</x:v>
      </x:c>
      <x:c r="F8" s="52" t="n">
        <x:v>4100000</x:v>
      </x:c>
      <x:c r="G8" s="52" t="n">
        <x:f>E8-F8</x:f>
        <x:v>3100000</x:v>
      </x:c>
      <x:c r="H8" s="51" t="str">
        <x:v>박</x:v>
      </x:c>
      <x:c r="I8" s="51" t="str">
        <x:v>동선 회수</x:v>
      </x:c>
    </x:row>
    <x:row r="9">
      <x:c r="A9" s="82" t="n">
        <x:v>45890</x:v>
      </x:c>
      <x:c r="B9" s="51" t="str">
        <x:v>창고 정리 인건비</x:v>
      </x:c>
      <x:c r="C9" s="51" t="str">
        <x:v>8명 투입</x:v>
      </x:c>
      <x:c r="D9" s="51" t="str">
        <x:v>3명 투입</x:v>
      </x:c>
      <x:c r="E9" s="52" t="n">
        <x:v>2800000</x:v>
      </x:c>
      <x:c r="F9" s="52" t="n">
        <x:v>1050000</x:v>
      </x:c>
      <x:c r="G9" s="52" t="n">
        <x:f>E9-F9</x:f>
        <x:v>1750000</x:v>
      </x:c>
      <x:c r="H9" s="51" t="str">
        <x:v>박</x:v>
      </x:c>
      <x:c r="I9" s="51" t="str">
        <x:v>일용직 서명 대체</x:v>
      </x:c>
    </x:row>
    <x:row r="10">
      <x:c r="A10" s="82" t="n">
        <x:v>45926</x:v>
      </x:c>
      <x:c r="B10" s="51" t="str">
        <x:v>협력업체 보상비</x:v>
      </x:c>
      <x:c r="C10" s="51" t="str">
        <x:v>납품 지연 보상</x:v>
      </x:c>
      <x:c r="D10" s="51" t="str">
        <x:v>실제 지급 없음</x:v>
      </x:c>
      <x:c r="E10" s="52" t="n">
        <x:v>2500000</x:v>
      </x:c>
      <x:c r="F10" s="52" t="n">
        <x:v>0</x:v>
      </x:c>
      <x:c r="G10" s="52" t="n">
        <x:f>E10-F10</x:f>
        <x:v>2500000</x:v>
      </x:c>
      <x:c r="H10" s="51" t="str">
        <x:v>박</x:v>
      </x:c>
      <x:c r="I10" s="51" t="str">
        <x:v>K자재 처리</x:v>
      </x:c>
    </x:row>
    <x:row r="11">
      <x:c r="A11" s="82" t="n">
        <x:v>45961</x:v>
      </x:c>
      <x:c r="B11" s="51" t="str">
        <x:v>안전장비 추가 구매</x:v>
      </x:c>
      <x:c r="C11" s="51" t="str">
        <x:v>안전모 40개</x:v>
      </x:c>
      <x:c r="D11" s="51" t="str">
        <x:v>23개 입고</x:v>
      </x:c>
      <x:c r="E11" s="52" t="n">
        <x:v>2800000</x:v>
      </x:c>
      <x:c r="F11" s="52" t="n">
        <x:v>1610000</x:v>
      </x:c>
      <x:c r="G11" s="52" t="n">
        <x:f>E11-F11</x:f>
        <x:v>1190000</x:v>
      </x:c>
      <x:c r="H11" s="51" t="str">
        <x:v>이</x:v>
      </x:c>
      <x:c r="I11" s="51" t="str">
        <x:v>입고표 수정</x:v>
      </x:c>
    </x:row>
    <x:row r="12">
      <x:c r="A12" s="82" t="n">
        <x:v>45979</x:v>
      </x:c>
      <x:c r="B12" s="51" t="str">
        <x:v>긴급 현장 정리</x:v>
      </x:c>
      <x:c r="C12" s="51" t="str">
        <x:v>정리 완료</x:v>
      </x:c>
      <x:c r="D12" s="51" t="str">
        <x:v>작업 없음</x:v>
      </x:c>
      <x:c r="E12" s="52" t="n">
        <x:v>4700000</x:v>
      </x:c>
      <x:c r="F12" s="52" t="n">
        <x:v>0</x:v>
      </x:c>
      <x:c r="G12" s="52" t="n">
        <x:f>E12-F12</x:f>
        <x:v>4700000</x:v>
      </x:c>
      <x:c r="H12" s="51" t="str">
        <x:v>박</x:v>
      </x:c>
      <x:c r="I12" s="51" t="str">
        <x:v>사장 보고 전 보류</x:v>
      </x:c>
    </x:row>
    <x:row r="13">
      <x:c r="A13" s="82" t="n">
        <x:v>46013</x:v>
      </x:c>
      <x:c r="B13" s="51" t="str">
        <x:v>연말 정산 조정</x:v>
      </x:c>
      <x:c r="C13" s="51" t="str">
        <x:v>장부 정리</x:v>
      </x:c>
      <x:c r="D13" s="51" t="str">
        <x:v>차액 이월</x:v>
      </x:c>
      <x:c r="E13" s="52" t="n">
        <x:v>6200000</x:v>
      </x:c>
      <x:c r="F13" s="52" t="n">
        <x:v>1000000</x:v>
      </x:c>
      <x:c r="G13" s="52" t="n">
        <x:f>E13-F13</x:f>
        <x:v>5200000</x:v>
      </x:c>
      <x:c r="H13" s="51" t="str">
        <x:v>박</x:v>
      </x:c>
      <x:c r="I13" s="51" t="str">
        <x:v>N 확인</x:v>
      </x:c>
    </x:row>
    <x:row r="14">
      <x:c r="A14" s="51"/>
      <x:c r="B14" s="51"/>
      <x:c r="C14" s="51"/>
      <x:c r="D14" s="51"/>
      <x:c r="E14" s="51"/>
      <x:c r="F14" s="51"/>
      <x:c r="G14" s="51"/>
      <x:c r="H14" s="51"/>
      <x:c r="I14" s="51"/>
    </x:row>
    <x:row r="15">
      <x:c r="A15" s="83" t="str">
        <x:v>2025년 차액 합계</x:v>
      </x:c>
      <x:c r="B15" s="83" t="str"/>
      <x:c r="C15" s="83" t="str"/>
      <x:c r="D15" s="83" t="str"/>
      <x:c r="E15" s="83" t="str"/>
      <x:c r="F15" s="83" t="str"/>
      <x:c r="G15" s="84" t="n">
        <x:f>SUM(G2:G13)</x:f>
        <x:v>36600000</x:v>
      </x:c>
      <x:c r="H15" s="51"/>
      <x:c r="I15" s="51"/>
    </x:row>
  </x:sheetData>
  <x:pageMargins left="0.7" right="0.7" top="0.75" bottom="0.75" header="0.3" footer="0.3"/>
  <x:tableParts count="1">
    <x:tablePart xmlns:r="http://schemas.openxmlformats.org/officeDocument/2006/relationships" r:id="R2ad20f9834934607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20" hidden="0" customWidth="1"/>
    <x:col min="4" max="4" width="20" hidden="0" customWidth="1"/>
    <x:col min="5" max="5" width="14" hidden="0" customWidth="1"/>
    <x:col min="6" max="6" width="14" hidden="0" customWidth="1"/>
    <x:col min="7" max="7" width="14" hidden="0" customWidth="1"/>
    <x:col min="8" max="8" width="10" hidden="0" customWidth="1"/>
    <x:col min="9" max="9" width="24" hidden="0" customWidth="1"/>
  </x:cols>
  <x:sheetData>
    <x:row r="1">
      <x:c r="A1" s="81" t="str">
        <x:v>날짜</x:v>
      </x:c>
      <x:c r="B1" s="81" t="str">
        <x:v>항목</x:v>
      </x:c>
      <x:c r="C1" s="81" t="str">
        <x:v>장부상 처리</x:v>
      </x:c>
      <x:c r="D1" s="81" t="str">
        <x:v>실제 처리</x:v>
      </x:c>
      <x:c r="E1" s="81" t="str">
        <x:v>장부상 금액</x:v>
      </x:c>
      <x:c r="F1" s="81" t="str">
        <x:v>실제 금액</x:v>
      </x:c>
      <x:c r="G1" s="81" t="str">
        <x:v>차액</x:v>
      </x:c>
      <x:c r="H1" s="81" t="str">
        <x:v>처리자</x:v>
      </x:c>
      <x:c r="I1" s="81" t="str">
        <x:v>비고</x:v>
      </x:c>
    </x:row>
    <x:row r="2">
      <x:c r="A2" s="82" t="n">
        <x:v>46031</x:v>
      </x:c>
      <x:c r="B2" s="51" t="str">
        <x:v>창고 재고 조정</x:v>
      </x:c>
      <x:c r="C2" s="51" t="str">
        <x:v>수량 일괄 수정</x:v>
      </x:c>
      <x:c r="D2" s="51" t="str">
        <x:v>실재고 미확인</x:v>
      </x:c>
      <x:c r="E2" s="52" t="n">
        <x:v>2600000</x:v>
      </x:c>
      <x:c r="F2" s="52" t="n">
        <x:v>0</x:v>
      </x:c>
      <x:c r="G2" s="52" t="n">
        <x:f>E2-F2</x:f>
        <x:v>2600000</x:v>
      </x:c>
      <x:c r="H2" s="51" t="str">
        <x:v>이</x:v>
      </x:c>
      <x:c r="I2" s="51" t="str">
        <x:v>반출대장 수정</x:v>
      </x:c>
    </x:row>
    <x:row r="3">
      <x:c r="A3" s="82" t="n">
        <x:v>46066</x:v>
      </x:c>
      <x:c r="B3" s="51" t="str">
        <x:v>철근 잔여분</x:v>
      </x:c>
      <x:c r="C3" s="51" t="str">
        <x:v>폐기 처리</x:v>
      </x:c>
      <x:c r="D3" s="51" t="str">
        <x:v>외부 반출</x:v>
      </x:c>
      <x:c r="E3" s="52" t="n">
        <x:v>9300000</x:v>
      </x:c>
      <x:c r="F3" s="52" t="n">
        <x:v>4200000</x:v>
      </x:c>
      <x:c r="G3" s="52" t="n">
        <x:f>E3-F3</x:f>
        <x:v>5100000</x:v>
      </x:c>
      <x:c r="H3" s="51" t="str">
        <x:v>박</x:v>
      </x:c>
      <x:c r="I3" s="51" t="str">
        <x:v>야간 출고</x:v>
      </x:c>
    </x:row>
    <x:row r="4">
      <x:c r="A4" s="82" t="n">
        <x:v>46087</x:v>
      </x:c>
      <x:c r="B4" s="51" t="str">
        <x:v>방수재 추가 구매</x:v>
      </x:c>
      <x:c r="C4" s="51" t="str">
        <x:v>50통 구매</x:v>
      </x:c>
      <x:c r="D4" s="51" t="str">
        <x:v>31통 입고</x:v>
      </x:c>
      <x:c r="E4" s="52" t="n">
        <x:v>6500000</x:v>
      </x:c>
      <x:c r="F4" s="52" t="n">
        <x:v>4030000</x:v>
      </x:c>
      <x:c r="G4" s="52" t="n">
        <x:f>E4-F4</x:f>
        <x:v>2470000</x:v>
      </x:c>
      <x:c r="H4" s="51" t="str">
        <x:v>박</x:v>
      </x:c>
      <x:c r="I4" s="51" t="str">
        <x:v>재고표 불일치</x:v>
      </x:c>
    </x:row>
    <x:row r="5">
      <x:c r="A5" s="82" t="n">
        <x:v>46109</x:v>
      </x:c>
      <x:c r="B5" s="51" t="str">
        <x:v>안전발판 보강</x:v>
      </x:c>
      <x:c r="C5" s="51" t="str">
        <x:v>신규 구매</x:v>
      </x:c>
      <x:c r="D5" s="51" t="str">
        <x:v>기존품 재사용</x:v>
      </x:c>
      <x:c r="E5" s="52" t="n">
        <x:v>4200000</x:v>
      </x:c>
      <x:c r="F5" s="52" t="n">
        <x:v>600000</x:v>
      </x:c>
      <x:c r="G5" s="52" t="n">
        <x:f>E5-F5</x:f>
        <x:v>3600000</x:v>
      </x:c>
      <x:c r="H5" s="51" t="str">
        <x:v>박</x:v>
      </x:c>
      <x:c r="I5" s="51" t="str">
        <x:v>사진 재사용</x:v>
      </x:c>
    </x:row>
    <x:row r="6">
      <x:c r="A6" s="82" t="n">
        <x:v>46127</x:v>
      </x:c>
      <x:c r="B6" s="51" t="str">
        <x:v>폐기물 처리비</x:v>
      </x:c>
      <x:c r="C6" s="51" t="str">
        <x:v>지정 폐기물</x:v>
      </x:c>
      <x:c r="D6" s="51" t="str">
        <x:v>일반 폐기물</x:v>
      </x:c>
      <x:c r="E6" s="52" t="n">
        <x:v>4400000</x:v>
      </x:c>
      <x:c r="F6" s="52" t="n">
        <x:v>1200000</x:v>
      </x:c>
      <x:c r="G6" s="52" t="n">
        <x:f>E6-F6</x:f>
        <x:v>3200000</x:v>
      </x:c>
      <x:c r="H6" s="51" t="str">
        <x:v>박</x:v>
      </x:c>
      <x:c r="I6" s="51" t="str">
        <x:v>처리등급 조정</x:v>
      </x:c>
    </x:row>
    <x:row r="7">
      <x:c r="A7" s="82" t="n">
        <x:v>46145</x:v>
      </x:c>
      <x:c r="B7" s="51" t="str">
        <x:v>창고 B구역 정리</x:v>
      </x:c>
      <x:c r="C7" s="51" t="str">
        <x:v>자료 이동</x:v>
      </x:c>
      <x:c r="D7" s="51" t="str">
        <x:v>B-4 별도 보관</x:v>
      </x:c>
      <x:c r="E7" s="52" t="n">
        <x:v>1800000</x:v>
      </x:c>
      <x:c r="F7" s="52" t="n">
        <x:v>300000</x:v>
      </x:c>
      <x:c r="G7" s="52" t="n">
        <x:f>E7-F7</x:f>
        <x:v>1500000</x:v>
      </x:c>
      <x:c r="H7" s="51" t="str">
        <x:v>박</x:v>
      </x:c>
      <x:c r="I7" s="51" t="str">
        <x:v>원본 보관</x:v>
      </x:c>
    </x:row>
    <x:row r="8">
      <x:c r="A8" s="82" t="n">
        <x:v>46169</x:v>
      </x:c>
      <x:c r="B8" s="51" t="str">
        <x:v>협력사 입막음</x:v>
      </x:c>
      <x:c r="C8" s="51" t="str">
        <x:v>납품수량 무마</x:v>
      </x:c>
      <x:c r="D8" s="51" t="str">
        <x:v>현금 지급</x:v>
      </x:c>
      <x:c r="E8" s="52" t="n">
        <x:v>3000000</x:v>
      </x:c>
      <x:c r="F8" s="52" t="n">
        <x:v>1000000</x:v>
      </x:c>
      <x:c r="G8" s="52" t="n">
        <x:f>E8-F8</x:f>
        <x:v>2000000</x:v>
      </x:c>
      <x:c r="H8" s="51" t="str">
        <x:v>박</x:v>
      </x:c>
      <x:c r="I8" s="51" t="str">
        <x:v>K자재</x:v>
      </x:c>
    </x:row>
    <x:row r="9">
      <x:c r="A9" s="82" t="n">
        <x:v>46183</x:v>
      </x:c>
      <x:c r="B9" s="51" t="str">
        <x:v>원본 반출대장 수정</x:v>
      </x:c>
      <x:c r="C9" s="51" t="str">
        <x:v>일부 교체</x:v>
      </x:c>
      <x:c r="D9" s="51" t="str">
        <x:v>입력 수정</x:v>
      </x:c>
      <x:c r="E9" s="52" t="n">
        <x:v>2400000</x:v>
      </x:c>
      <x:c r="F9" s="52" t="n">
        <x:v>800000</x:v>
      </x:c>
      <x:c r="G9" s="52" t="n">
        <x:f>E9-F9</x:f>
        <x:v>1600000</x:v>
      </x:c>
      <x:c r="H9" s="51" t="str">
        <x:v>이</x:v>
      </x:c>
      <x:c r="I9" s="51" t="str">
        <x:v>감사 전 정리</x:v>
      </x:c>
    </x:row>
    <x:row r="10">
      <x:c r="A10" s="82" t="n">
        <x:v>46191</x:v>
      </x:c>
      <x:c r="B10" s="51" t="str">
        <x:v>현장 사고 처리</x:v>
      </x:c>
      <x:c r="C10" s="51" t="str">
        <x:v>외부 보고 차단</x:v>
      </x:c>
      <x:c r="D10" s="51" t="str">
        <x:v>내부 처리</x:v>
      </x:c>
      <x:c r="E10" s="52" t="n">
        <x:v>1700000</x:v>
      </x:c>
      <x:c r="F10" s="52" t="n">
        <x:v>500000</x:v>
      </x:c>
      <x:c r="G10" s="52" t="n">
        <x:f>E10-F10</x:f>
        <x:v>1200000</x:v>
      </x:c>
      <x:c r="H10" s="51" t="str">
        <x:v>박</x:v>
      </x:c>
      <x:c r="I10" s="51" t="str">
        <x:v>김사원 건</x:v>
      </x:c>
    </x:row>
    <x:row r="11">
      <x:c r="A11" s="82" t="n">
        <x:v>46197</x:v>
      </x:c>
      <x:c r="B11" s="51" t="str">
        <x:v>B-4 자료 최종 정리</x:v>
      </x:c>
      <x:c r="C11" s="51" t="str">
        <x:v>장부 원본 확인</x:v>
      </x:c>
      <x:c r="D11" s="51" t="str">
        <x:v>별도 보관</x:v>
      </x:c>
      <x:c r="E11" s="52" t="n">
        <x:v>3500000</x:v>
      </x:c>
      <x:c r="F11" s="52" t="n">
        <x:v>500000</x:v>
      </x:c>
      <x:c r="G11" s="52" t="n">
        <x:f>E11-F11</x:f>
        <x:v>3000000</x:v>
      </x:c>
      <x:c r="H11" s="51" t="str">
        <x:v>박</x:v>
      </x:c>
      <x:c r="I11" s="51" t="str">
        <x:v>사장 답변 대기</x:v>
      </x:c>
    </x:row>
    <x:row r="12">
      <x:c r="A12" s="51"/>
      <x:c r="B12" s="51"/>
      <x:c r="C12" s="51"/>
      <x:c r="D12" s="51"/>
      <x:c r="E12" s="51"/>
      <x:c r="F12" s="51"/>
      <x:c r="G12" s="51"/>
      <x:c r="H12" s="51"/>
      <x:c r="I12" s="51"/>
    </x:row>
    <x:row r="13">
      <x:c r="A13" s="83" t="str">
        <x:v>2026년 차액 합계</x:v>
      </x:c>
      <x:c r="B13" s="83" t="str"/>
      <x:c r="C13" s="83" t="str"/>
      <x:c r="D13" s="83" t="str"/>
      <x:c r="E13" s="83" t="str"/>
      <x:c r="F13" s="83" t="str"/>
      <x:c r="G13" s="84" t="n">
        <x:f>SUM(G2:G11)</x:f>
        <x:v>26270000</x:v>
      </x:c>
      <x:c r="H13" s="51"/>
      <x:c r="I13" s="51"/>
    </x:row>
  </x:sheetData>
  <x:pageMargins left="0.7" right="0.7" top="0.75" bottom="0.75" header="0.3" footer="0.3"/>
  <x:tableParts count="1">
    <x:tablePart xmlns:r="http://schemas.openxmlformats.org/officeDocument/2006/relationships" r:id="R8371baa6fa4c4164"/>
  </x:tableParts>
</x:worksheet>
</file>